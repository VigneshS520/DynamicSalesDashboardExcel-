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my projects\excel dashboard\Sales dashboard\"/>
    </mc:Choice>
  </mc:AlternateContent>
  <xr:revisionPtr revIDLastSave="0" documentId="13_ncr:1_{47E0D752-26A1-408A-90D6-4E2E8726736E}" xr6:coauthVersionLast="36" xr6:coauthVersionMax="36" xr10:uidLastSave="{00000000-0000-0000-0000-000000000000}"/>
  <bookViews>
    <workbookView xWindow="0" yWindow="0" windowWidth="19200" windowHeight="6555" activeTab="1" xr2:uid="{C0893FBD-34B3-420E-B0D6-EC330180DDEA}"/>
  </bookViews>
  <sheets>
    <sheet name="Dashboard" sheetId="7" r:id="rId1"/>
    <sheet name="Pivot Tables" sheetId="4" r:id="rId2"/>
    <sheet name="SalesData" sheetId="3" r:id="rId3"/>
  </sheets>
  <definedNames>
    <definedName name="Slicer_Product">#N/A</definedName>
    <definedName name="Slicer_Region">#N/A</definedName>
    <definedName name="Slicer_Sales_Pers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 i="3" l="1"/>
  <c r="K8" i="3"/>
  <c r="K6" i="3"/>
  <c r="K4"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G49" i="3" l="1"/>
  <c r="F49" i="3"/>
  <c r="H49" i="3" s="1"/>
  <c r="G48" i="3"/>
  <c r="F48" i="3"/>
  <c r="H48" i="3" s="1"/>
  <c r="G47" i="3"/>
  <c r="F47" i="3"/>
  <c r="H47" i="3" s="1"/>
  <c r="G46" i="3"/>
  <c r="F46" i="3"/>
  <c r="H46" i="3" s="1"/>
  <c r="G45" i="3"/>
  <c r="F45" i="3"/>
  <c r="H45" i="3" s="1"/>
  <c r="G44" i="3"/>
  <c r="F44" i="3"/>
  <c r="H44" i="3" s="1"/>
  <c r="G43" i="3"/>
  <c r="F43" i="3"/>
  <c r="H43" i="3" s="1"/>
  <c r="G42" i="3"/>
  <c r="F42" i="3"/>
  <c r="H42" i="3" s="1"/>
  <c r="G41" i="3"/>
  <c r="F41" i="3"/>
  <c r="H41" i="3" s="1"/>
  <c r="G40" i="3"/>
  <c r="F40" i="3"/>
  <c r="H40" i="3" s="1"/>
  <c r="G39" i="3"/>
  <c r="F39" i="3"/>
  <c r="H39" i="3" s="1"/>
  <c r="G38" i="3"/>
  <c r="F38" i="3"/>
  <c r="H38" i="3" s="1"/>
  <c r="G37" i="3"/>
  <c r="F37" i="3"/>
  <c r="H37" i="3" s="1"/>
  <c r="G36" i="3"/>
  <c r="F36" i="3"/>
  <c r="H36" i="3" s="1"/>
  <c r="G35" i="3"/>
  <c r="F35" i="3"/>
  <c r="H35" i="3" s="1"/>
  <c r="G34" i="3"/>
  <c r="F34" i="3"/>
  <c r="H34" i="3" s="1"/>
  <c r="G33" i="3"/>
  <c r="F33" i="3"/>
  <c r="H33" i="3" s="1"/>
  <c r="G32" i="3"/>
  <c r="F32" i="3"/>
  <c r="H32" i="3" s="1"/>
  <c r="G31" i="3"/>
  <c r="F31" i="3"/>
  <c r="H31" i="3" s="1"/>
  <c r="G30" i="3"/>
  <c r="F30" i="3"/>
  <c r="H30" i="3" s="1"/>
  <c r="G29" i="3"/>
  <c r="F29" i="3"/>
  <c r="H29" i="3" s="1"/>
  <c r="G28" i="3"/>
  <c r="F28" i="3"/>
  <c r="H28" i="3" s="1"/>
  <c r="G27" i="3"/>
  <c r="F27" i="3"/>
  <c r="H27" i="3" s="1"/>
  <c r="G26" i="3"/>
  <c r="F26" i="3"/>
  <c r="H26" i="3" s="1"/>
  <c r="G25" i="3"/>
  <c r="F25" i="3"/>
  <c r="H25" i="3" s="1"/>
  <c r="G24" i="3"/>
  <c r="F24" i="3"/>
  <c r="H24" i="3" s="1"/>
  <c r="G23" i="3"/>
  <c r="F23" i="3"/>
  <c r="H23" i="3" s="1"/>
  <c r="G22" i="3"/>
  <c r="F22" i="3"/>
  <c r="H22" i="3" s="1"/>
  <c r="G21" i="3"/>
  <c r="F21" i="3"/>
  <c r="H21" i="3" s="1"/>
  <c r="G20" i="3"/>
  <c r="F20" i="3"/>
  <c r="H20" i="3" s="1"/>
  <c r="G19" i="3"/>
  <c r="F19" i="3"/>
  <c r="H19" i="3" s="1"/>
  <c r="G18" i="3"/>
  <c r="F18" i="3"/>
  <c r="H18" i="3" s="1"/>
  <c r="G17" i="3"/>
  <c r="F17" i="3"/>
  <c r="H17" i="3" s="1"/>
  <c r="G16" i="3"/>
  <c r="F16" i="3"/>
  <c r="H16" i="3" s="1"/>
  <c r="G15" i="3"/>
  <c r="F15" i="3"/>
  <c r="H15" i="3" s="1"/>
  <c r="G14" i="3"/>
  <c r="F14" i="3"/>
  <c r="H14" i="3" s="1"/>
  <c r="G13" i="3"/>
  <c r="F13" i="3"/>
  <c r="H13" i="3" s="1"/>
  <c r="G12" i="3"/>
  <c r="F12" i="3"/>
  <c r="H12" i="3" s="1"/>
  <c r="G11" i="3"/>
  <c r="F11" i="3"/>
  <c r="H11" i="3" s="1"/>
  <c r="G10" i="3"/>
  <c r="F10" i="3"/>
  <c r="H10" i="3" s="1"/>
  <c r="G9" i="3"/>
  <c r="F9" i="3"/>
  <c r="H9" i="3" s="1"/>
  <c r="G8" i="3"/>
  <c r="F8" i="3"/>
  <c r="H8" i="3" s="1"/>
  <c r="G7" i="3"/>
  <c r="F7" i="3"/>
  <c r="H7" i="3" s="1"/>
  <c r="G6" i="3"/>
  <c r="F6" i="3"/>
  <c r="H6" i="3" s="1"/>
  <c r="G5" i="3"/>
  <c r="F5" i="3"/>
  <c r="H5" i="3" s="1"/>
  <c r="G4" i="3"/>
  <c r="F4" i="3"/>
  <c r="H4" i="3" s="1"/>
  <c r="G3" i="3"/>
  <c r="F3" i="3"/>
  <c r="H3" i="3" s="1"/>
  <c r="G2" i="3"/>
  <c r="F2" i="3"/>
  <c r="H2" i="3" s="1"/>
  <c r="I2" i="3" l="1"/>
</calcChain>
</file>

<file path=xl/sharedStrings.xml><?xml version="1.0" encoding="utf-8"?>
<sst xmlns="http://schemas.openxmlformats.org/spreadsheetml/2006/main" count="199" uniqueCount="40">
  <si>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</si>
  <si>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</si>
  <si>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</si>
  <si>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</si>
  <si>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</si>
  <si>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</si>
  <si>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</si>
  <si>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</si>
  <si>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</si>
  <si>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</si>
  <si>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</si>
  <si>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</si>
  <si>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</si>
  <si>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</si>
  <si>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</si>
  <si>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</si>
  <si>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</si>
  <si>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</si>
  <si>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</si>
  <si>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</si>
  <si>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</si>
  <si>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</si>
  <si>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</si>
  <si>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</si>
  <si>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</si>
  <si>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</si>
  <si>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</si>
  <si>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</si>
  <si>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Profit</t>
  </si>
  <si>
    <t>Grand Total</t>
  </si>
  <si>
    <t xml:space="preserve">   Unit Sold</t>
  </si>
  <si>
    <t>Total  Profit</t>
  </si>
  <si>
    <t>Average Sales</t>
  </si>
  <si>
    <t>Row Labels</t>
  </si>
  <si>
    <t>Sum of Total Sales</t>
  </si>
  <si>
    <t>Sum of Units Sold</t>
  </si>
  <si>
    <t>Units Sold by Product</t>
  </si>
  <si>
    <t>Total Sales by Region</t>
  </si>
  <si>
    <t>Total Sales by Product</t>
  </si>
  <si>
    <t>Total Sales by Salesperson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</si>
</sst>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_ &quot;Rs.&quot;\ * #,##0_ ;_ &quot;Rs.&quot;\ * \-#,##0_ ;_ &quot;Rs.&quot;\ * &quot;-&quot;_ ;_ @_ "/>
    <numFmt numFmtId="165" formatCode="&quot;Rs. &quot;##\.##,&quot;L&quot;"/>
    <numFmt numFmtId="166" formatCode="##\.##,&quot;L&quot;"/>
    <numFmt numFmtId="167" formatCode="_(* #,##0_);_(* \(#,##0\);_(* &quot;-&quot;??_);_(@_)"/>
  </numFmts>
  <fonts count="4">
    <font>
      <sz val="11"/>
      <color theme="1"/>
      <name val="Aptos Narrow"/>
      <family val="2"/>
      <scheme val="minor"/>
    </font>
    <font>
      <sz val="11"/>
      <color theme="1"/>
      <name val="Aptos Narrow"/>
      <family val="2"/>
      <scheme val="minor"/>
    </font>
    <font>
      <sz val="11"/>
      <color theme="0"/>
      <name val="Aptos Narrow"/>
      <family val="2"/>
      <scheme val="minor"/>
    </font>
    <font>
      <b/>
      <sz val="11"/>
      <color theme="1"/>
      <name val="Aptos Narrow"/>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right/>
      <top/>
      <bottom style="thick">
        <color rgb="FFFFC000"/>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2">
    <xf numFmtId="0" fontId="0" fillId="0" borderId="0" xfId="0"/>
    <xf numFmtId="0" fontId="2"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left"/>
    </xf>
    <xf numFmtId="164" fontId="0" fillId="0" borderId="0" xfId="1" applyFont="1"/>
    <xf numFmtId="0" fontId="2" fillId="2" borderId="0" xfId="0" applyFont="1" applyFill="1" applyBorder="1" applyAlignment="1">
      <alignment horizontal="center" vertical="center"/>
    </xf>
    <xf numFmtId="0" fontId="0" fillId="0" borderId="0" xfId="0" pivotButton="1"/>
    <xf numFmtId="0" fontId="0" fillId="0" borderId="0" xfId="0" applyNumberFormat="1"/>
    <xf numFmtId="165" fontId="0" fillId="0" borderId="0" xfId="0" applyNumberFormat="1"/>
    <xf numFmtId="166" fontId="0" fillId="0" borderId="0" xfId="0" applyNumberFormat="1"/>
    <xf numFmtId="167" fontId="0" fillId="0" borderId="0" xfId="2" applyNumberFormat="1" applyFont="1"/>
    <xf numFmtId="0" fontId="3" fillId="0" borderId="0" xfId="0" applyFont="1"/>
  </cellXfs>
  <cellStyles count="3">
    <cellStyle name="Comma" xfId="2" builtinId="3"/>
    <cellStyle name="Currency [0]" xfId="1" builtinId="7"/>
    <cellStyle name="Normal" xfId="0" builtinId="0"/>
  </cellStyles>
  <dxfs count="10">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center" vertical="center" textRotation="0" wrapText="0" indent="0" justifyLastLine="0" shrinkToFit="0" readingOrder="0"/>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Invisible" pivot="0" table="0" count="0" xr9:uid="{BDFCBA0C-0FAD-47E9-B8E0-311E6D449765}"/>
    <tableStyle name="SlicerStyleDark4 2" pivot="0" table="0" count="10" xr9:uid="{6825C499-C836-4E55-82B3-4EA571685A69}">
      <tableStyleElement type="wholeTable" dxfId="9"/>
      <tableStyleElement type="headerRow" dxfId="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4" tint="-0.499984740745262"/>
              <bgColor theme="4" tint="-0.499984740745262"/>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Tables!PivotTable4</c:name>
    <c:fmtId val="7"/>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solidFill>
              <a:schemeClr val="tx2"/>
            </a:solidFill>
            <a:ln>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solidFill>
                <a:schemeClr val="tx2"/>
              </a:solidFill>
              <a:ln>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Tables'!$J$4:$J$10</c:f>
              <c:strCache>
                <c:ptCount val="6"/>
                <c:pt idx="0">
                  <c:v>Action Figure</c:v>
                </c:pt>
                <c:pt idx="1">
                  <c:v>Blender</c:v>
                </c:pt>
                <c:pt idx="2">
                  <c:v>Moisturizer</c:v>
                </c:pt>
                <c:pt idx="3">
                  <c:v>Novel</c:v>
                </c:pt>
                <c:pt idx="4">
                  <c:v>Sneakers</c:v>
                </c:pt>
                <c:pt idx="5">
                  <c:v>Tent</c:v>
                </c:pt>
              </c:strCache>
            </c:strRef>
          </c:cat>
          <c:val>
            <c:numRef>
              <c:f>'Pivot Tables'!$K$4:$K$10</c:f>
              <c:numCache>
                <c:formatCode>General</c:formatCode>
                <c:ptCount val="6"/>
                <c:pt idx="0">
                  <c:v>456</c:v>
                </c:pt>
                <c:pt idx="1">
                  <c:v>635</c:v>
                </c:pt>
                <c:pt idx="2">
                  <c:v>1178</c:v>
                </c:pt>
                <c:pt idx="3">
                  <c:v>898</c:v>
                </c:pt>
                <c:pt idx="4">
                  <c:v>799</c:v>
                </c:pt>
                <c:pt idx="5">
                  <c:v>504</c:v>
                </c:pt>
              </c:numCache>
            </c:numRef>
          </c:val>
          <c:smooth val="0"/>
          <c:extLst>
            <c:ext xmlns:c16="http://schemas.microsoft.com/office/drawing/2014/chart" uri="{C3380CC4-5D6E-409C-BE32-E72D297353CC}">
              <c16:uniqueId val="{00000000-A4C8-4E60-823B-84AA68F612C1}"/>
            </c:ext>
          </c:extLst>
        </c:ser>
        <c:dLbls>
          <c:dLblPos val="t"/>
          <c:showLegendKey val="0"/>
          <c:showVal val="1"/>
          <c:showCatName val="0"/>
          <c:showSerName val="0"/>
          <c:showPercent val="0"/>
          <c:showBubbleSize val="0"/>
        </c:dLbls>
        <c:dropLines>
          <c:spPr>
            <a:ln w="22225" cap="flat" cmpd="sng" algn="ctr">
              <a:solidFill>
                <a:schemeClr val="accent1">
                  <a:lumMod val="75000"/>
                </a:schemeClr>
              </a:solidFill>
              <a:round/>
            </a:ln>
            <a:effectLst/>
          </c:spPr>
        </c:dropLines>
        <c:marker val="1"/>
        <c:smooth val="0"/>
        <c:axId val="869384096"/>
        <c:axId val="1118769472"/>
      </c:lineChart>
      <c:catAx>
        <c:axId val="869384096"/>
        <c:scaling>
          <c:orientation val="minMax"/>
        </c:scaling>
        <c:delete val="0"/>
        <c:axPos val="b"/>
        <c:numFmt formatCode="General" sourceLinked="1"/>
        <c:majorTickMark val="none"/>
        <c:minorTickMark val="none"/>
        <c:tickLblPos val="nextTo"/>
        <c:spPr>
          <a:solidFill>
            <a:schemeClr val="bg1"/>
          </a:solid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accent1">
                    <a:lumMod val="50000"/>
                  </a:schemeClr>
                </a:solidFill>
                <a:latin typeface="+mn-lt"/>
                <a:ea typeface="+mn-ea"/>
                <a:cs typeface="+mn-cs"/>
              </a:defRPr>
            </a:pPr>
            <a:endParaRPr lang="en-US"/>
          </a:p>
        </c:txPr>
        <c:crossAx val="1118769472"/>
        <c:crosses val="autoZero"/>
        <c:auto val="1"/>
        <c:lblAlgn val="ctr"/>
        <c:lblOffset val="100"/>
        <c:noMultiLvlLbl val="0"/>
      </c:catAx>
      <c:valAx>
        <c:axId val="1118769472"/>
        <c:scaling>
          <c:orientation val="minMax"/>
        </c:scaling>
        <c:delete val="1"/>
        <c:axPos val="l"/>
        <c:numFmt formatCode="General" sourceLinked="1"/>
        <c:majorTickMark val="none"/>
        <c:minorTickMark val="none"/>
        <c:tickLblPos val="nextTo"/>
        <c:crossAx val="869384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Tables!PivotTable2</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46855617210369"/>
          <c:y val="0.12131148395119405"/>
          <c:w val="0.76153144382789628"/>
          <c:h val="0.87868851604880593"/>
        </c:manualLayout>
      </c:layout>
      <c:barChart>
        <c:barDir val="bar"/>
        <c:grouping val="clustered"/>
        <c:varyColors val="0"/>
        <c:ser>
          <c:idx val="0"/>
          <c:order val="0"/>
          <c:tx>
            <c:strRef>
              <c:f>'Pivot Tables'!$E$3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Tables'!$D$4:$D$10</c:f>
              <c:strCache>
                <c:ptCount val="6"/>
                <c:pt idx="0">
                  <c:v>Action Figure</c:v>
                </c:pt>
                <c:pt idx="1">
                  <c:v>Blender</c:v>
                </c:pt>
                <c:pt idx="2">
                  <c:v>Moisturizer</c:v>
                </c:pt>
                <c:pt idx="3">
                  <c:v>Novel</c:v>
                </c:pt>
                <c:pt idx="4">
                  <c:v>Sneakers</c:v>
                </c:pt>
                <c:pt idx="5">
                  <c:v>Tent</c:v>
                </c:pt>
              </c:strCache>
            </c:strRef>
          </c:cat>
          <c:val>
            <c:numRef>
              <c:f>'Pivot Tables'!$E$4:$E$10</c:f>
              <c:numCache>
                <c:formatCode>##\.##,"L"</c:formatCode>
                <c:ptCount val="6"/>
                <c:pt idx="0">
                  <c:v>547200</c:v>
                </c:pt>
                <c:pt idx="1">
                  <c:v>2222500</c:v>
                </c:pt>
                <c:pt idx="2">
                  <c:v>706800</c:v>
                </c:pt>
                <c:pt idx="3">
                  <c:v>898000</c:v>
                </c:pt>
                <c:pt idx="4">
                  <c:v>3196000</c:v>
                </c:pt>
                <c:pt idx="5">
                  <c:v>3024000</c:v>
                </c:pt>
              </c:numCache>
            </c:numRef>
          </c:val>
          <c:extLst>
            <c:ext xmlns:c16="http://schemas.microsoft.com/office/drawing/2014/chart" uri="{C3380CC4-5D6E-409C-BE32-E72D297353CC}">
              <c16:uniqueId val="{00000000-C721-45A0-AABD-9F46C621A36B}"/>
            </c:ext>
          </c:extLst>
        </c:ser>
        <c:dLbls>
          <c:dLblPos val="outEnd"/>
          <c:showLegendKey val="0"/>
          <c:showVal val="1"/>
          <c:showCatName val="0"/>
          <c:showSerName val="0"/>
          <c:showPercent val="0"/>
          <c:showBubbleSize val="0"/>
        </c:dLbls>
        <c:gapWidth val="52"/>
        <c:axId val="980846096"/>
        <c:axId val="988642480"/>
      </c:barChart>
      <c:catAx>
        <c:axId val="9808460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642480"/>
        <c:crosses val="autoZero"/>
        <c:auto val="1"/>
        <c:lblAlgn val="ctr"/>
        <c:lblOffset val="100"/>
        <c:noMultiLvlLbl val="0"/>
      </c:catAx>
      <c:valAx>
        <c:axId val="988642480"/>
        <c:scaling>
          <c:orientation val="minMax"/>
        </c:scaling>
        <c:delete val="1"/>
        <c:axPos val="b"/>
        <c:numFmt formatCode="##\.##,&quot;L&quot;" sourceLinked="1"/>
        <c:majorTickMark val="out"/>
        <c:minorTickMark val="none"/>
        <c:tickLblPos val="nextTo"/>
        <c:crossAx val="980846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Tables'!$H$4:$H$14</c:f>
              <c:numCache>
                <c:formatCode>"Rs. "##\.##,"L"</c:formatCode>
                <c:ptCount val="10"/>
                <c:pt idx="0">
                  <c:v>1591600</c:v>
                </c:pt>
                <c:pt idx="1">
                  <c:v>677600</c:v>
                </c:pt>
                <c:pt idx="2">
                  <c:v>687000</c:v>
                </c:pt>
                <c:pt idx="3">
                  <c:v>581400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E4D8-4FE6-8EF7-6CB6204D4A1A}"/>
            </c:ext>
          </c:extLst>
        </c:ser>
        <c:dLbls>
          <c:dLblPos val="outEnd"/>
          <c:showLegendKey val="0"/>
          <c:showVal val="1"/>
          <c:showCatName val="0"/>
          <c:showSerName val="0"/>
          <c:showPercent val="0"/>
          <c:showBubbleSize val="0"/>
        </c:dLbls>
        <c:gapWidth val="76"/>
        <c:overlap val="-27"/>
        <c:axId val="864394016"/>
        <c:axId val="988702064"/>
      </c:barChart>
      <c:catAx>
        <c:axId val="86439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702064"/>
        <c:crosses val="autoZero"/>
        <c:auto val="1"/>
        <c:lblAlgn val="ctr"/>
        <c:lblOffset val="100"/>
        <c:noMultiLvlLbl val="0"/>
      </c:catAx>
      <c:valAx>
        <c:axId val="988702064"/>
        <c:scaling>
          <c:orientation val="minMax"/>
        </c:scaling>
        <c:delete val="1"/>
        <c:axPos val="l"/>
        <c:numFmt formatCode="&quot;Rs. &quot;##\.##,&quot;L&quot;" sourceLinked="1"/>
        <c:majorTickMark val="none"/>
        <c:minorTickMark val="none"/>
        <c:tickLblPos val="nextTo"/>
        <c:crossAx val="864394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2777777777777768"/>
              <c:y val="8.79629629629627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3055555555555559"/>
              <c:y val="8.33333333333332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33333333333333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277777777777778"/>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33333333333333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777777777777768"/>
              <c:y val="8.79629629629627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3055555555555559"/>
              <c:y val="8.33333333333332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77777777777778"/>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w="19050">
            <a:solidFill>
              <a:schemeClr val="lt1"/>
            </a:solidFill>
          </a:ln>
          <a:effectLst/>
        </c:spPr>
        <c:dLbl>
          <c:idx val="0"/>
          <c:layout>
            <c:manualLayout>
              <c:x val="0.20074898473404898"/>
              <c:y val="1.63765424771206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75000"/>
            </a:schemeClr>
          </a:solidFill>
          <a:ln w="19050">
            <a:solidFill>
              <a:schemeClr val="lt1"/>
            </a:solidFill>
          </a:ln>
          <a:effectLst/>
        </c:spPr>
        <c:dLbl>
          <c:idx val="0"/>
          <c:layout>
            <c:manualLayout>
              <c:x val="0.12777777777777768"/>
              <c:y val="8.79629629629627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50000"/>
            </a:schemeClr>
          </a:solidFill>
          <a:ln w="19050">
            <a:solidFill>
              <a:schemeClr val="lt1"/>
            </a:solidFill>
          </a:ln>
          <a:effectLst/>
        </c:spPr>
        <c:dLbl>
          <c:idx val="0"/>
          <c:layout>
            <c:manualLayout>
              <c:x val="-0.19297759966278391"/>
              <c:y val="0.132688361681561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w="19050">
            <a:solidFill>
              <a:schemeClr val="lt1"/>
            </a:solidFill>
          </a:ln>
          <a:effectLst/>
        </c:spPr>
        <c:dLbl>
          <c:idx val="0"/>
          <c:layout>
            <c:manualLayout>
              <c:x val="-0.1277777777777778"/>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200612423447073"/>
          <c:y val="0.22930373286672498"/>
          <c:w val="0.34487685914260718"/>
          <c:h val="0.57479476523767858"/>
        </c:manualLayout>
      </c:layout>
      <c:doughnutChart>
        <c:varyColors val="1"/>
        <c:ser>
          <c:idx val="0"/>
          <c:order val="0"/>
          <c:tx>
            <c:strRef>
              <c:f>'Pivot Tables'!$B$3</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7429-4069-997B-9F47E0434D9F}"/>
              </c:ext>
            </c:extLst>
          </c:dPt>
          <c:dPt>
            <c:idx val="1"/>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7429-4069-997B-9F47E0434D9F}"/>
              </c:ext>
            </c:extLst>
          </c:dPt>
          <c:dPt>
            <c:idx val="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5-7429-4069-997B-9F47E0434D9F}"/>
              </c:ext>
            </c:extLst>
          </c:dPt>
          <c:dPt>
            <c:idx val="3"/>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7-7429-4069-997B-9F47E0434D9F}"/>
              </c:ext>
            </c:extLst>
          </c:dPt>
          <c:dLbls>
            <c:dLbl>
              <c:idx val="0"/>
              <c:layout>
                <c:manualLayout>
                  <c:x val="0.20074898473404898"/>
                  <c:y val="1.63765424771206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429-4069-997B-9F47E0434D9F}"/>
                </c:ext>
              </c:extLst>
            </c:dLbl>
            <c:dLbl>
              <c:idx val="1"/>
              <c:layout>
                <c:manualLayout>
                  <c:x val="0.12777777777777768"/>
                  <c:y val="8.79629629629627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29-4069-997B-9F47E0434D9F}"/>
                </c:ext>
              </c:extLst>
            </c:dLbl>
            <c:dLbl>
              <c:idx val="2"/>
              <c:layout>
                <c:manualLayout>
                  <c:x val="-0.19297759966278391"/>
                  <c:y val="0.132688361681561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429-4069-997B-9F47E0434D9F}"/>
                </c:ext>
              </c:extLst>
            </c:dLbl>
            <c:dLbl>
              <c:idx val="3"/>
              <c:layout>
                <c:manualLayout>
                  <c:x val="-0.1277777777777778"/>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429-4069-997B-9F47E0434D9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Tables'!$A$4:$A$8</c:f>
              <c:strCache>
                <c:ptCount val="4"/>
                <c:pt idx="0">
                  <c:v>East</c:v>
                </c:pt>
                <c:pt idx="1">
                  <c:v>North</c:v>
                </c:pt>
                <c:pt idx="2">
                  <c:v>South</c:v>
                </c:pt>
                <c:pt idx="3">
                  <c:v>West</c:v>
                </c:pt>
              </c:strCache>
            </c:strRef>
          </c:cat>
          <c:val>
            <c:numRef>
              <c:f>'Pivot Tables'!$B$4:$B$8</c:f>
              <c:numCache>
                <c:formatCode>"Rs. "##\.##,"L"</c:formatCode>
                <c:ptCount val="4"/>
                <c:pt idx="0">
                  <c:v>2264400</c:v>
                </c:pt>
                <c:pt idx="1">
                  <c:v>2661400</c:v>
                </c:pt>
                <c:pt idx="2">
                  <c:v>2870600</c:v>
                </c:pt>
                <c:pt idx="3">
                  <c:v>2798100</c:v>
                </c:pt>
              </c:numCache>
            </c:numRef>
          </c:val>
          <c:extLst>
            <c:ext xmlns:c16="http://schemas.microsoft.com/office/drawing/2014/chart" uri="{C3380CC4-5D6E-409C-BE32-E72D297353CC}">
              <c16:uniqueId val="{00000008-7429-4069-997B-9F47E0434D9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77777777777768"/>
              <c:y val="8.79629629629627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055555555555559"/>
              <c:y val="8.33333333333332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33333333333333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77777777777778"/>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200612423447073"/>
          <c:y val="0.22930373286672498"/>
          <c:w val="0.34487685914260718"/>
          <c:h val="0.57479476523767858"/>
        </c:manualLayout>
      </c:layout>
      <c:doughnut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EA15-416F-8198-172522AF58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EA15-416F-8198-172522AF58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EA15-416F-8198-172522AF585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EA15-416F-8198-172522AF585A}"/>
              </c:ext>
            </c:extLst>
          </c:dPt>
          <c:dLbls>
            <c:dLbl>
              <c:idx val="0"/>
              <c:layout>
                <c:manualLayout>
                  <c:x val="0.13333333333333333"/>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15-416F-8198-172522AF585A}"/>
                </c:ext>
              </c:extLst>
            </c:dLbl>
            <c:dLbl>
              <c:idx val="1"/>
              <c:layout>
                <c:manualLayout>
                  <c:x val="0.12777777777777768"/>
                  <c:y val="8.79629629629627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15-416F-8198-172522AF585A}"/>
                </c:ext>
              </c:extLst>
            </c:dLbl>
            <c:dLbl>
              <c:idx val="2"/>
              <c:layout>
                <c:manualLayout>
                  <c:x val="-0.13055555555555559"/>
                  <c:y val="8.33333333333332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15-416F-8198-172522AF585A}"/>
                </c:ext>
              </c:extLst>
            </c:dLbl>
            <c:dLbl>
              <c:idx val="3"/>
              <c:layout>
                <c:manualLayout>
                  <c:x val="-0.1277777777777778"/>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A15-416F-8198-172522AF585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Tables'!$A$4:$A$8</c:f>
              <c:strCache>
                <c:ptCount val="4"/>
                <c:pt idx="0">
                  <c:v>East</c:v>
                </c:pt>
                <c:pt idx="1">
                  <c:v>North</c:v>
                </c:pt>
                <c:pt idx="2">
                  <c:v>South</c:v>
                </c:pt>
                <c:pt idx="3">
                  <c:v>West</c:v>
                </c:pt>
              </c:strCache>
            </c:strRef>
          </c:cat>
          <c:val>
            <c:numRef>
              <c:f>'Pivot Tables'!$B$4:$B$8</c:f>
              <c:numCache>
                <c:formatCode>"Rs. "##\.##,"L"</c:formatCode>
                <c:ptCount val="4"/>
                <c:pt idx="0">
                  <c:v>2264400</c:v>
                </c:pt>
                <c:pt idx="1">
                  <c:v>2661400</c:v>
                </c:pt>
                <c:pt idx="2">
                  <c:v>2870600</c:v>
                </c:pt>
                <c:pt idx="3">
                  <c:v>2798100</c:v>
                </c:pt>
              </c:numCache>
            </c:numRef>
          </c:val>
          <c:extLst>
            <c:ext xmlns:c16="http://schemas.microsoft.com/office/drawing/2014/chart" uri="{C3380CC4-5D6E-409C-BE32-E72D297353CC}">
              <c16:uniqueId val="{00000000-EA15-416F-8198-172522AF585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Tables!PivotTable2</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Tables'!$D$4:$D$10</c:f>
              <c:strCache>
                <c:ptCount val="6"/>
                <c:pt idx="0">
                  <c:v>Action Figure</c:v>
                </c:pt>
                <c:pt idx="1">
                  <c:v>Blender</c:v>
                </c:pt>
                <c:pt idx="2">
                  <c:v>Moisturizer</c:v>
                </c:pt>
                <c:pt idx="3">
                  <c:v>Novel</c:v>
                </c:pt>
                <c:pt idx="4">
                  <c:v>Sneakers</c:v>
                </c:pt>
                <c:pt idx="5">
                  <c:v>Tent</c:v>
                </c:pt>
              </c:strCache>
            </c:strRef>
          </c:cat>
          <c:val>
            <c:numRef>
              <c:f>'Pivot Tables'!$E$4:$E$10</c:f>
              <c:numCache>
                <c:formatCode>##\.##,"L"</c:formatCode>
                <c:ptCount val="6"/>
                <c:pt idx="0">
                  <c:v>547200</c:v>
                </c:pt>
                <c:pt idx="1">
                  <c:v>2222500</c:v>
                </c:pt>
                <c:pt idx="2">
                  <c:v>706800</c:v>
                </c:pt>
                <c:pt idx="3">
                  <c:v>898000</c:v>
                </c:pt>
                <c:pt idx="4">
                  <c:v>3196000</c:v>
                </c:pt>
                <c:pt idx="5">
                  <c:v>3024000</c:v>
                </c:pt>
              </c:numCache>
            </c:numRef>
          </c:val>
          <c:extLst>
            <c:ext xmlns:c16="http://schemas.microsoft.com/office/drawing/2014/chart" uri="{C3380CC4-5D6E-409C-BE32-E72D297353CC}">
              <c16:uniqueId val="{00000000-F3ED-4591-9350-144660156EFF}"/>
            </c:ext>
          </c:extLst>
        </c:ser>
        <c:dLbls>
          <c:dLblPos val="outEnd"/>
          <c:showLegendKey val="0"/>
          <c:showVal val="1"/>
          <c:showCatName val="0"/>
          <c:showSerName val="0"/>
          <c:showPercent val="0"/>
          <c:showBubbleSize val="0"/>
        </c:dLbls>
        <c:gapWidth val="52"/>
        <c:axId val="980846096"/>
        <c:axId val="988642480"/>
      </c:barChart>
      <c:catAx>
        <c:axId val="9808460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642480"/>
        <c:crosses val="autoZero"/>
        <c:auto val="1"/>
        <c:lblAlgn val="ctr"/>
        <c:lblOffset val="100"/>
        <c:noMultiLvlLbl val="0"/>
      </c:catAx>
      <c:valAx>
        <c:axId val="988642480"/>
        <c:scaling>
          <c:orientation val="minMax"/>
        </c:scaling>
        <c:delete val="1"/>
        <c:axPos val="b"/>
        <c:numFmt formatCode="##\.##,&quot;L&quot;" sourceLinked="1"/>
        <c:majorTickMark val="out"/>
        <c:minorTickMark val="none"/>
        <c:tickLblPos val="nextTo"/>
        <c:crossAx val="980846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Tables'!$H$4:$H$14</c:f>
              <c:numCache>
                <c:formatCode>"Rs. "##\.##,"L"</c:formatCode>
                <c:ptCount val="10"/>
                <c:pt idx="0">
                  <c:v>1591600</c:v>
                </c:pt>
                <c:pt idx="1">
                  <c:v>677600</c:v>
                </c:pt>
                <c:pt idx="2">
                  <c:v>687000</c:v>
                </c:pt>
                <c:pt idx="3">
                  <c:v>581400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1A14-4713-80C7-DB6FC0EEC2BE}"/>
            </c:ext>
          </c:extLst>
        </c:ser>
        <c:dLbls>
          <c:dLblPos val="outEnd"/>
          <c:showLegendKey val="0"/>
          <c:showVal val="1"/>
          <c:showCatName val="0"/>
          <c:showSerName val="0"/>
          <c:showPercent val="0"/>
          <c:showBubbleSize val="0"/>
        </c:dLbls>
        <c:gapWidth val="76"/>
        <c:overlap val="-27"/>
        <c:axId val="864394016"/>
        <c:axId val="988702064"/>
      </c:barChart>
      <c:catAx>
        <c:axId val="86439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702064"/>
        <c:crosses val="autoZero"/>
        <c:auto val="1"/>
        <c:lblAlgn val="ctr"/>
        <c:lblOffset val="100"/>
        <c:noMultiLvlLbl val="0"/>
      </c:catAx>
      <c:valAx>
        <c:axId val="988702064"/>
        <c:scaling>
          <c:orientation val="minMax"/>
        </c:scaling>
        <c:delete val="1"/>
        <c:axPos val="l"/>
        <c:numFmt formatCode="&quot;Rs. &quot;##\.##,&quot;L&quot;" sourceLinked="1"/>
        <c:majorTickMark val="none"/>
        <c:minorTickMark val="none"/>
        <c:tickLblPos val="nextTo"/>
        <c:crossAx val="864394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Tables!PivotTable4</c:name>
    <c:fmtId val="4"/>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Tables'!$J$4:$J$10</c:f>
              <c:strCache>
                <c:ptCount val="6"/>
                <c:pt idx="0">
                  <c:v>Action Figure</c:v>
                </c:pt>
                <c:pt idx="1">
                  <c:v>Blender</c:v>
                </c:pt>
                <c:pt idx="2">
                  <c:v>Moisturizer</c:v>
                </c:pt>
                <c:pt idx="3">
                  <c:v>Novel</c:v>
                </c:pt>
                <c:pt idx="4">
                  <c:v>Sneakers</c:v>
                </c:pt>
                <c:pt idx="5">
                  <c:v>Tent</c:v>
                </c:pt>
              </c:strCache>
            </c:strRef>
          </c:cat>
          <c:val>
            <c:numRef>
              <c:f>'Pivot Tables'!$K$4:$K$10</c:f>
              <c:numCache>
                <c:formatCode>General</c:formatCode>
                <c:ptCount val="6"/>
                <c:pt idx="0">
                  <c:v>456</c:v>
                </c:pt>
                <c:pt idx="1">
                  <c:v>635</c:v>
                </c:pt>
                <c:pt idx="2">
                  <c:v>1178</c:v>
                </c:pt>
                <c:pt idx="3">
                  <c:v>898</c:v>
                </c:pt>
                <c:pt idx="4">
                  <c:v>799</c:v>
                </c:pt>
                <c:pt idx="5">
                  <c:v>504</c:v>
                </c:pt>
              </c:numCache>
            </c:numRef>
          </c:val>
          <c:smooth val="0"/>
          <c:extLst>
            <c:ext xmlns:c16="http://schemas.microsoft.com/office/drawing/2014/chart" uri="{C3380CC4-5D6E-409C-BE32-E72D297353CC}">
              <c16:uniqueId val="{00000000-58B9-4712-85CB-C7440A583E18}"/>
            </c:ext>
          </c:extLst>
        </c:ser>
        <c:dLbls>
          <c:dLblPos val="t"/>
          <c:showLegendKey val="0"/>
          <c:showVal val="1"/>
          <c:showCatName val="0"/>
          <c:showSerName val="0"/>
          <c:showPercent val="0"/>
          <c:showBubbleSize val="0"/>
        </c:dLbls>
        <c:dropLines>
          <c:spPr>
            <a:ln w="22225" cap="flat" cmpd="sng" algn="ctr">
              <a:solidFill>
                <a:schemeClr val="accent1">
                  <a:lumMod val="75000"/>
                </a:schemeClr>
              </a:solidFill>
              <a:round/>
            </a:ln>
            <a:effectLst/>
          </c:spPr>
        </c:dropLines>
        <c:marker val="1"/>
        <c:smooth val="0"/>
        <c:axId val="869384096"/>
        <c:axId val="1118769472"/>
      </c:lineChart>
      <c:catAx>
        <c:axId val="869384096"/>
        <c:scaling>
          <c:orientation val="minMax"/>
        </c:scaling>
        <c:delete val="0"/>
        <c:axPos val="b"/>
        <c:numFmt formatCode="General" sourceLinked="1"/>
        <c:majorTickMark val="none"/>
        <c:minorTickMark val="none"/>
        <c:tickLblPos val="nextTo"/>
        <c:spPr>
          <a:solidFill>
            <a:schemeClr val="bg1"/>
          </a:solid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accent1">
                    <a:lumMod val="50000"/>
                  </a:schemeClr>
                </a:solidFill>
                <a:latin typeface="+mn-lt"/>
                <a:ea typeface="+mn-ea"/>
                <a:cs typeface="+mn-cs"/>
              </a:defRPr>
            </a:pPr>
            <a:endParaRPr lang="en-US"/>
          </a:p>
        </c:txPr>
        <c:crossAx val="1118769472"/>
        <c:crosses val="autoZero"/>
        <c:auto val="1"/>
        <c:lblAlgn val="ctr"/>
        <c:lblOffset val="100"/>
        <c:noMultiLvlLbl val="0"/>
      </c:catAx>
      <c:valAx>
        <c:axId val="1118769472"/>
        <c:scaling>
          <c:orientation val="minMax"/>
        </c:scaling>
        <c:delete val="1"/>
        <c:axPos val="l"/>
        <c:numFmt formatCode="General" sourceLinked="1"/>
        <c:majorTickMark val="none"/>
        <c:minorTickMark val="none"/>
        <c:tickLblPos val="nextTo"/>
        <c:crossAx val="869384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47626</xdr:rowOff>
    </xdr:from>
    <xdr:to>
      <xdr:col>18</xdr:col>
      <xdr:colOff>555625</xdr:colOff>
      <xdr:row>4</xdr:row>
      <xdr:rowOff>61913</xdr:rowOff>
    </xdr:to>
    <xdr:sp macro="" textlink="">
      <xdr:nvSpPr>
        <xdr:cNvPr id="3" name="Rectangle: Rounded Corners 2">
          <a:extLst>
            <a:ext uri="{FF2B5EF4-FFF2-40B4-BE49-F238E27FC236}">
              <a16:creationId xmlns:a16="http://schemas.microsoft.com/office/drawing/2014/main" id="{ED10089A-56C2-4F75-986A-13445B6F3FEA}"/>
            </a:ext>
          </a:extLst>
        </xdr:cNvPr>
        <xdr:cNvSpPr/>
      </xdr:nvSpPr>
      <xdr:spPr>
        <a:xfrm>
          <a:off x="76200" y="47626"/>
          <a:ext cx="12766675" cy="71278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28575</xdr:colOff>
      <xdr:row>4</xdr:row>
      <xdr:rowOff>114300</xdr:rowOff>
    </xdr:from>
    <xdr:to>
      <xdr:col>3</xdr:col>
      <xdr:colOff>440055</xdr:colOff>
      <xdr:row>10</xdr:row>
      <xdr:rowOff>0</xdr:rowOff>
    </xdr:to>
    <xdr:grpSp>
      <xdr:nvGrpSpPr>
        <xdr:cNvPr id="21" name="Group 20">
          <a:extLst>
            <a:ext uri="{FF2B5EF4-FFF2-40B4-BE49-F238E27FC236}">
              <a16:creationId xmlns:a16="http://schemas.microsoft.com/office/drawing/2014/main" id="{63253064-ED37-49DD-91B7-66072653DA14}"/>
            </a:ext>
          </a:extLst>
        </xdr:cNvPr>
        <xdr:cNvGrpSpPr/>
      </xdr:nvGrpSpPr>
      <xdr:grpSpPr>
        <a:xfrm>
          <a:off x="28575" y="807027"/>
          <a:ext cx="2463685" cy="924791"/>
          <a:chOff x="28575" y="800100"/>
          <a:chExt cx="2468880" cy="914400"/>
        </a:xfrm>
      </xdr:grpSpPr>
      <xdr:sp macro="" textlink="">
        <xdr:nvSpPr>
          <xdr:cNvPr id="4" name="Rectangle: Rounded Corners 3">
            <a:extLst>
              <a:ext uri="{FF2B5EF4-FFF2-40B4-BE49-F238E27FC236}">
                <a16:creationId xmlns:a16="http://schemas.microsoft.com/office/drawing/2014/main" id="{3F6565CE-8E8C-4AD7-82E0-651E4331ECA6}"/>
              </a:ext>
            </a:extLst>
          </xdr:cNvPr>
          <xdr:cNvSpPr/>
        </xdr:nvSpPr>
        <xdr:spPr>
          <a:xfrm>
            <a:off x="28575" y="800100"/>
            <a:ext cx="2468880" cy="9144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48A2F3CD-AEA4-495B-AECE-1C2C41625D45}"/>
              </a:ext>
            </a:extLst>
          </xdr:cNvPr>
          <xdr:cNvSpPr/>
        </xdr:nvSpPr>
        <xdr:spPr>
          <a:xfrm rot="5400000">
            <a:off x="-23812" y="919166"/>
            <a:ext cx="858204" cy="675322"/>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06DC71BB-BAFE-42B9-87B9-BE0F5D9636C4}"/>
              </a:ext>
            </a:extLst>
          </xdr:cNvPr>
          <xdr:cNvSpPr txBox="1"/>
        </xdr:nvSpPr>
        <xdr:spPr>
          <a:xfrm>
            <a:off x="857250" y="876301"/>
            <a:ext cx="1457325" cy="280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1">
                    <a:lumMod val="50000"/>
                  </a:schemeClr>
                </a:solidFill>
              </a:rPr>
              <a:t>TOTAL SALES</a:t>
            </a:r>
          </a:p>
        </xdr:txBody>
      </xdr:sp>
      <xdr:sp macro="" textlink="SalesData!K2">
        <xdr:nvSpPr>
          <xdr:cNvPr id="9" name="TextBox 8">
            <a:extLst>
              <a:ext uri="{FF2B5EF4-FFF2-40B4-BE49-F238E27FC236}">
                <a16:creationId xmlns:a16="http://schemas.microsoft.com/office/drawing/2014/main" id="{72CD0FE0-F023-4BA6-94DA-96C176EACCE1}"/>
              </a:ext>
            </a:extLst>
          </xdr:cNvPr>
          <xdr:cNvSpPr txBox="1"/>
        </xdr:nvSpPr>
        <xdr:spPr>
          <a:xfrm>
            <a:off x="795337" y="1114425"/>
            <a:ext cx="1281113" cy="4000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E3DA4A4-E4FE-4640-A596-36061DFD7884}" type="TxLink">
              <a:rPr lang="en-US" sz="1800" b="0" i="0" u="none" strike="noStrike" cap="none" spc="0">
                <a:ln w="0"/>
                <a:solidFill>
                  <a:schemeClr val="accent1">
                    <a:lumMod val="50000"/>
                  </a:schemeClr>
                </a:solidFill>
                <a:effectLst>
                  <a:outerShdw blurRad="38100" dist="19050" dir="2700000" algn="tl" rotWithShape="0">
                    <a:schemeClr val="dk1">
                      <a:alpha val="40000"/>
                    </a:schemeClr>
                  </a:outerShdw>
                </a:effectLst>
                <a:latin typeface="Aptos Narrow"/>
              </a:rPr>
              <a:pPr algn="l"/>
              <a:t> 10,594,500 </a:t>
            </a:fld>
            <a:endParaRPr lang="en-US" sz="1800" b="0" cap="none" spc="0">
              <a:ln w="0"/>
              <a:solidFill>
                <a:schemeClr val="accent1">
                  <a:lumMod val="50000"/>
                </a:schemeClr>
              </a:solidFill>
              <a:effectLst>
                <a:outerShdw blurRad="38100" dist="19050" dir="2700000" algn="tl" rotWithShape="0">
                  <a:schemeClr val="dk1">
                    <a:alpha val="40000"/>
                  </a:schemeClr>
                </a:outerShdw>
              </a:effectLst>
            </a:endParaRPr>
          </a:p>
        </xdr:txBody>
      </xdr:sp>
    </xdr:grpSp>
    <xdr:clientData/>
  </xdr:twoCellAnchor>
  <xdr:twoCellAnchor>
    <xdr:from>
      <xdr:col>3</xdr:col>
      <xdr:colOff>466725</xdr:colOff>
      <xdr:row>4</xdr:row>
      <xdr:rowOff>114300</xdr:rowOff>
    </xdr:from>
    <xdr:to>
      <xdr:col>7</xdr:col>
      <xdr:colOff>192405</xdr:colOff>
      <xdr:row>10</xdr:row>
      <xdr:rowOff>0</xdr:rowOff>
    </xdr:to>
    <xdr:grpSp>
      <xdr:nvGrpSpPr>
        <xdr:cNvPr id="22" name="Group 21">
          <a:extLst>
            <a:ext uri="{FF2B5EF4-FFF2-40B4-BE49-F238E27FC236}">
              <a16:creationId xmlns:a16="http://schemas.microsoft.com/office/drawing/2014/main" id="{DAA69247-B5D7-43B8-8287-0A5A1564FEFC}"/>
            </a:ext>
          </a:extLst>
        </xdr:cNvPr>
        <xdr:cNvGrpSpPr/>
      </xdr:nvGrpSpPr>
      <xdr:grpSpPr>
        <a:xfrm>
          <a:off x="2518930" y="807027"/>
          <a:ext cx="2461953" cy="924791"/>
          <a:chOff x="28575" y="800100"/>
          <a:chExt cx="2468880" cy="914400"/>
        </a:xfrm>
      </xdr:grpSpPr>
      <xdr:sp macro="" textlink="">
        <xdr:nvSpPr>
          <xdr:cNvPr id="23" name="Rectangle: Rounded Corners 22">
            <a:extLst>
              <a:ext uri="{FF2B5EF4-FFF2-40B4-BE49-F238E27FC236}">
                <a16:creationId xmlns:a16="http://schemas.microsoft.com/office/drawing/2014/main" id="{56D89D37-0259-4930-A020-687F4472208B}"/>
              </a:ext>
            </a:extLst>
          </xdr:cNvPr>
          <xdr:cNvSpPr/>
        </xdr:nvSpPr>
        <xdr:spPr>
          <a:xfrm>
            <a:off x="28575" y="800100"/>
            <a:ext cx="2468880" cy="9144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24" name="Rectangle: Rounded Corners 23">
            <a:extLst>
              <a:ext uri="{FF2B5EF4-FFF2-40B4-BE49-F238E27FC236}">
                <a16:creationId xmlns:a16="http://schemas.microsoft.com/office/drawing/2014/main" id="{AFC888B5-99C1-4835-8186-0D851D4A70D8}"/>
              </a:ext>
            </a:extLst>
          </xdr:cNvPr>
          <xdr:cNvSpPr/>
        </xdr:nvSpPr>
        <xdr:spPr>
          <a:xfrm rot="5400000">
            <a:off x="-23812" y="919166"/>
            <a:ext cx="858204" cy="675322"/>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686952F5-59D2-438D-8A62-01303BF70B94}"/>
              </a:ext>
            </a:extLst>
          </xdr:cNvPr>
          <xdr:cNvSpPr txBox="1"/>
        </xdr:nvSpPr>
        <xdr:spPr>
          <a:xfrm>
            <a:off x="857250" y="876301"/>
            <a:ext cx="1457325" cy="280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1">
                    <a:lumMod val="50000"/>
                  </a:schemeClr>
                </a:solidFill>
              </a:rPr>
              <a:t>AVERAGE</a:t>
            </a:r>
            <a:r>
              <a:rPr lang="en-US" sz="1100" b="1" baseline="0">
                <a:solidFill>
                  <a:schemeClr val="accent1">
                    <a:lumMod val="50000"/>
                  </a:schemeClr>
                </a:solidFill>
              </a:rPr>
              <a:t> SALES</a:t>
            </a:r>
            <a:endParaRPr lang="en-US" sz="1100" b="1">
              <a:solidFill>
                <a:schemeClr val="accent1">
                  <a:lumMod val="50000"/>
                </a:schemeClr>
              </a:solidFill>
            </a:endParaRPr>
          </a:p>
        </xdr:txBody>
      </xdr:sp>
      <xdr:sp macro="" textlink="SalesData!K8">
        <xdr:nvSpPr>
          <xdr:cNvPr id="26" name="TextBox 25">
            <a:extLst>
              <a:ext uri="{FF2B5EF4-FFF2-40B4-BE49-F238E27FC236}">
                <a16:creationId xmlns:a16="http://schemas.microsoft.com/office/drawing/2014/main" id="{EE298E8E-CB4B-4EE7-ABEF-F26405866EDF}"/>
              </a:ext>
            </a:extLst>
          </xdr:cNvPr>
          <xdr:cNvSpPr txBox="1"/>
        </xdr:nvSpPr>
        <xdr:spPr>
          <a:xfrm>
            <a:off x="809625" y="1123951"/>
            <a:ext cx="1009651" cy="3000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52F18B8-1625-47C9-AD37-8484EE8F8A13}" type="TxLink">
              <a:rPr lang="en-US" sz="1800" b="0" i="0" u="none" strike="noStrike" cap="none" spc="0">
                <a:ln w="0"/>
                <a:solidFill>
                  <a:schemeClr val="accent1">
                    <a:lumMod val="50000"/>
                  </a:schemeClr>
                </a:solidFill>
                <a:effectLst>
                  <a:outerShdw blurRad="38100" dist="19050" dir="2700000" algn="tl" rotWithShape="0">
                    <a:schemeClr val="dk1">
                      <a:alpha val="40000"/>
                    </a:schemeClr>
                  </a:outerShdw>
                </a:effectLst>
                <a:latin typeface="Aptos Narrow"/>
              </a:rPr>
              <a:pPr algn="l"/>
              <a:t> 220,719 </a:t>
            </a:fld>
            <a:endParaRPr lang="en-US" sz="1800" b="0" cap="none" spc="0">
              <a:ln w="0"/>
              <a:solidFill>
                <a:schemeClr val="accent1">
                  <a:lumMod val="50000"/>
                </a:schemeClr>
              </a:solidFill>
              <a:effectLst>
                <a:outerShdw blurRad="38100" dist="19050" dir="2700000" algn="tl" rotWithShape="0">
                  <a:schemeClr val="dk1">
                    <a:alpha val="40000"/>
                  </a:schemeClr>
                </a:outerShdw>
              </a:effectLst>
            </a:endParaRPr>
          </a:p>
        </xdr:txBody>
      </xdr:sp>
    </xdr:grpSp>
    <xdr:clientData/>
  </xdr:twoCellAnchor>
  <xdr:twoCellAnchor>
    <xdr:from>
      <xdr:col>7</xdr:col>
      <xdr:colOff>209550</xdr:colOff>
      <xdr:row>4</xdr:row>
      <xdr:rowOff>114300</xdr:rowOff>
    </xdr:from>
    <xdr:to>
      <xdr:col>10</xdr:col>
      <xdr:colOff>621030</xdr:colOff>
      <xdr:row>10</xdr:row>
      <xdr:rowOff>0</xdr:rowOff>
    </xdr:to>
    <xdr:grpSp>
      <xdr:nvGrpSpPr>
        <xdr:cNvPr id="27" name="Group 26">
          <a:extLst>
            <a:ext uri="{FF2B5EF4-FFF2-40B4-BE49-F238E27FC236}">
              <a16:creationId xmlns:a16="http://schemas.microsoft.com/office/drawing/2014/main" id="{59F57260-46A6-4292-AF5F-54E682AD91F1}"/>
            </a:ext>
          </a:extLst>
        </xdr:cNvPr>
        <xdr:cNvGrpSpPr/>
      </xdr:nvGrpSpPr>
      <xdr:grpSpPr>
        <a:xfrm>
          <a:off x="4998028" y="807027"/>
          <a:ext cx="2463684" cy="924791"/>
          <a:chOff x="28575" y="800100"/>
          <a:chExt cx="2468880" cy="914400"/>
        </a:xfrm>
      </xdr:grpSpPr>
      <xdr:sp macro="" textlink="">
        <xdr:nvSpPr>
          <xdr:cNvPr id="28" name="Rectangle: Rounded Corners 27">
            <a:extLst>
              <a:ext uri="{FF2B5EF4-FFF2-40B4-BE49-F238E27FC236}">
                <a16:creationId xmlns:a16="http://schemas.microsoft.com/office/drawing/2014/main" id="{8FF05A5A-DBB2-4D68-9D4C-4878A614226F}"/>
              </a:ext>
            </a:extLst>
          </xdr:cNvPr>
          <xdr:cNvSpPr/>
        </xdr:nvSpPr>
        <xdr:spPr>
          <a:xfrm>
            <a:off x="28575" y="800100"/>
            <a:ext cx="2468880" cy="9144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29" name="Rectangle: Rounded Corners 28">
            <a:extLst>
              <a:ext uri="{FF2B5EF4-FFF2-40B4-BE49-F238E27FC236}">
                <a16:creationId xmlns:a16="http://schemas.microsoft.com/office/drawing/2014/main" id="{99365F24-EEF6-472F-AF5F-3252A841B5CD}"/>
              </a:ext>
            </a:extLst>
          </xdr:cNvPr>
          <xdr:cNvSpPr/>
        </xdr:nvSpPr>
        <xdr:spPr>
          <a:xfrm rot="5400000">
            <a:off x="-23812" y="919166"/>
            <a:ext cx="858204" cy="675322"/>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0" name="TextBox 29">
            <a:extLst>
              <a:ext uri="{FF2B5EF4-FFF2-40B4-BE49-F238E27FC236}">
                <a16:creationId xmlns:a16="http://schemas.microsoft.com/office/drawing/2014/main" id="{6C351855-655F-4FF8-8BE6-3292ABF8B92D}"/>
              </a:ext>
            </a:extLst>
          </xdr:cNvPr>
          <xdr:cNvSpPr txBox="1"/>
        </xdr:nvSpPr>
        <xdr:spPr>
          <a:xfrm>
            <a:off x="857250" y="876301"/>
            <a:ext cx="1457325" cy="280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1">
                    <a:lumMod val="50000"/>
                  </a:schemeClr>
                </a:solidFill>
              </a:rPr>
              <a:t>U</a:t>
            </a:r>
            <a:r>
              <a:rPr lang="en-US" sz="1100" b="0" i="0" u="none" strike="noStrike" cap="none" spc="0">
                <a:ln w="0"/>
                <a:solidFill>
                  <a:srgbClr val="000000"/>
                </a:solidFill>
                <a:effectLst>
                  <a:outerShdw blurRad="38100" dist="19050" dir="2700000" algn="tl" rotWithShape="0">
                    <a:schemeClr val="dk1">
                      <a:alpha val="40000"/>
                    </a:schemeClr>
                  </a:outerShdw>
                </a:effectLst>
                <a:latin typeface="Aptos Narrow"/>
                <a:ea typeface="+mn-ea"/>
                <a:cs typeface="+mn-cs"/>
              </a:rPr>
              <a:t>N</a:t>
            </a:r>
            <a:r>
              <a:rPr lang="en-US" sz="1100" b="1">
                <a:solidFill>
                  <a:schemeClr val="accent1">
                    <a:lumMod val="50000"/>
                  </a:schemeClr>
                </a:solidFill>
              </a:rPr>
              <a:t>ITS</a:t>
            </a:r>
            <a:r>
              <a:rPr lang="en-US" sz="1100" b="1" baseline="0">
                <a:solidFill>
                  <a:schemeClr val="accent1">
                    <a:lumMod val="50000"/>
                  </a:schemeClr>
                </a:solidFill>
              </a:rPr>
              <a:t> SOLD</a:t>
            </a:r>
            <a:endParaRPr lang="en-US" sz="1100" b="1">
              <a:solidFill>
                <a:schemeClr val="accent1">
                  <a:lumMod val="50000"/>
                </a:schemeClr>
              </a:solidFill>
            </a:endParaRPr>
          </a:p>
        </xdr:txBody>
      </xdr:sp>
      <xdr:sp macro="" textlink="SalesData!K4">
        <xdr:nvSpPr>
          <xdr:cNvPr id="31" name="TextBox 30">
            <a:extLst>
              <a:ext uri="{FF2B5EF4-FFF2-40B4-BE49-F238E27FC236}">
                <a16:creationId xmlns:a16="http://schemas.microsoft.com/office/drawing/2014/main" id="{D9EB5035-7D69-4825-B2C6-DE301BEC2797}"/>
              </a:ext>
            </a:extLst>
          </xdr:cNvPr>
          <xdr:cNvSpPr txBox="1"/>
        </xdr:nvSpPr>
        <xdr:spPr>
          <a:xfrm>
            <a:off x="866775" y="1114425"/>
            <a:ext cx="1281113" cy="3667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8F0853E-9AAB-48D3-8240-11F7351F336D}" type="TxLink">
              <a:rPr lang="en-US" sz="1800" b="0" i="0" u="none" strike="noStrike" cap="none" spc="0">
                <a:ln w="0"/>
                <a:solidFill>
                  <a:srgbClr val="000000"/>
                </a:solidFill>
                <a:effectLst>
                  <a:outerShdw blurRad="38100" dist="19050" dir="2700000" algn="tl" rotWithShape="0">
                    <a:schemeClr val="dk1">
                      <a:alpha val="40000"/>
                    </a:schemeClr>
                  </a:outerShdw>
                </a:effectLst>
                <a:latin typeface="Aptos Narrow"/>
              </a:rPr>
              <a:pPr algn="l"/>
              <a:t>4470</a:t>
            </a:fld>
            <a:endParaRPr lang="en-US" sz="1800" b="0" cap="none" spc="0">
              <a:ln w="0"/>
              <a:solidFill>
                <a:schemeClr val="accent1">
                  <a:lumMod val="50000"/>
                </a:schemeClr>
              </a:solidFill>
              <a:effectLst>
                <a:outerShdw blurRad="38100" dist="19050" dir="2700000" algn="tl" rotWithShape="0">
                  <a:schemeClr val="dk1">
                    <a:alpha val="40000"/>
                  </a:schemeClr>
                </a:outerShdw>
              </a:effectLst>
            </a:endParaRPr>
          </a:p>
        </xdr:txBody>
      </xdr:sp>
    </xdr:grpSp>
    <xdr:clientData/>
  </xdr:twoCellAnchor>
  <xdr:twoCellAnchor>
    <xdr:from>
      <xdr:col>10</xdr:col>
      <xdr:colOff>647700</xdr:colOff>
      <xdr:row>4</xdr:row>
      <xdr:rowOff>119062</xdr:rowOff>
    </xdr:from>
    <xdr:to>
      <xdr:col>14</xdr:col>
      <xdr:colOff>373380</xdr:colOff>
      <xdr:row>10</xdr:row>
      <xdr:rowOff>4762</xdr:rowOff>
    </xdr:to>
    <xdr:grpSp>
      <xdr:nvGrpSpPr>
        <xdr:cNvPr id="32" name="Group 31">
          <a:extLst>
            <a:ext uri="{FF2B5EF4-FFF2-40B4-BE49-F238E27FC236}">
              <a16:creationId xmlns:a16="http://schemas.microsoft.com/office/drawing/2014/main" id="{A65744CA-CE76-4433-A082-7B65D631BAA2}"/>
            </a:ext>
          </a:extLst>
        </xdr:cNvPr>
        <xdr:cNvGrpSpPr/>
      </xdr:nvGrpSpPr>
      <xdr:grpSpPr>
        <a:xfrm>
          <a:off x="7488382" y="811789"/>
          <a:ext cx="2461953" cy="924791"/>
          <a:chOff x="28575" y="800100"/>
          <a:chExt cx="2468880" cy="914400"/>
        </a:xfrm>
      </xdr:grpSpPr>
      <xdr:sp macro="" textlink="">
        <xdr:nvSpPr>
          <xdr:cNvPr id="33" name="Rectangle: Rounded Corners 32">
            <a:extLst>
              <a:ext uri="{FF2B5EF4-FFF2-40B4-BE49-F238E27FC236}">
                <a16:creationId xmlns:a16="http://schemas.microsoft.com/office/drawing/2014/main" id="{48E72ACF-A738-4C9D-887B-29C550EE337F}"/>
              </a:ext>
            </a:extLst>
          </xdr:cNvPr>
          <xdr:cNvSpPr/>
        </xdr:nvSpPr>
        <xdr:spPr>
          <a:xfrm>
            <a:off x="28575" y="800100"/>
            <a:ext cx="2468880" cy="9144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4" name="Rectangle: Rounded Corners 33">
            <a:extLst>
              <a:ext uri="{FF2B5EF4-FFF2-40B4-BE49-F238E27FC236}">
                <a16:creationId xmlns:a16="http://schemas.microsoft.com/office/drawing/2014/main" id="{C0425074-2DDD-42EA-99BE-91C0EC4CF383}"/>
              </a:ext>
            </a:extLst>
          </xdr:cNvPr>
          <xdr:cNvSpPr/>
        </xdr:nvSpPr>
        <xdr:spPr>
          <a:xfrm rot="5400000">
            <a:off x="-23812" y="919166"/>
            <a:ext cx="858204" cy="675322"/>
          </a:xfrm>
          <a:prstGeom prst="round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5" name="TextBox 34">
            <a:extLst>
              <a:ext uri="{FF2B5EF4-FFF2-40B4-BE49-F238E27FC236}">
                <a16:creationId xmlns:a16="http://schemas.microsoft.com/office/drawing/2014/main" id="{9B200A53-D047-4050-A821-0A71254E0510}"/>
              </a:ext>
            </a:extLst>
          </xdr:cNvPr>
          <xdr:cNvSpPr txBox="1"/>
        </xdr:nvSpPr>
        <xdr:spPr>
          <a:xfrm>
            <a:off x="857250" y="876301"/>
            <a:ext cx="1457325" cy="280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1">
                    <a:lumMod val="50000"/>
                  </a:schemeClr>
                </a:solidFill>
              </a:rPr>
              <a:t>PROFIT</a:t>
            </a:r>
          </a:p>
        </xdr:txBody>
      </xdr:sp>
      <xdr:sp macro="" textlink="SalesData!K6">
        <xdr:nvSpPr>
          <xdr:cNvPr id="36" name="TextBox 35">
            <a:extLst>
              <a:ext uri="{FF2B5EF4-FFF2-40B4-BE49-F238E27FC236}">
                <a16:creationId xmlns:a16="http://schemas.microsoft.com/office/drawing/2014/main" id="{3DAB2C82-D0C7-4B37-A75B-F342F3DA3E36}"/>
              </a:ext>
            </a:extLst>
          </xdr:cNvPr>
          <xdr:cNvSpPr txBox="1"/>
        </xdr:nvSpPr>
        <xdr:spPr>
          <a:xfrm>
            <a:off x="804864" y="1133475"/>
            <a:ext cx="1457323"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D5939F6-8926-4BA0-B878-E9287032F939}" type="TxLink">
              <a:rPr lang="en-US" sz="1800" b="0" i="0" u="none" strike="noStrike" cap="none" spc="0">
                <a:ln w="0"/>
                <a:solidFill>
                  <a:srgbClr val="000000"/>
                </a:solidFill>
                <a:effectLst>
                  <a:outerShdw blurRad="38100" dist="19050" dir="2700000" algn="tl" rotWithShape="0">
                    <a:schemeClr val="dk1">
                      <a:alpha val="40000"/>
                    </a:schemeClr>
                  </a:outerShdw>
                </a:effectLst>
                <a:latin typeface="Aptos Narrow"/>
              </a:rPr>
              <a:pPr algn="l"/>
              <a:t> 3,129,400 </a:t>
            </a:fld>
            <a:endParaRPr lang="en-US" sz="1800" b="0" cap="none" spc="0">
              <a:ln w="0"/>
              <a:solidFill>
                <a:schemeClr val="accent1">
                  <a:lumMod val="50000"/>
                </a:schemeClr>
              </a:solidFill>
              <a:effectLst>
                <a:outerShdw blurRad="38100" dist="19050" dir="2700000" algn="tl" rotWithShape="0">
                  <a:schemeClr val="dk1">
                    <a:alpha val="40000"/>
                  </a:schemeClr>
                </a:outerShdw>
              </a:effectLst>
            </a:endParaRPr>
          </a:p>
        </xdr:txBody>
      </xdr:sp>
    </xdr:grpSp>
    <xdr:clientData/>
  </xdr:twoCellAnchor>
  <xdr:twoCellAnchor>
    <xdr:from>
      <xdr:col>4</xdr:col>
      <xdr:colOff>1429</xdr:colOff>
      <xdr:row>6</xdr:row>
      <xdr:rowOff>4495</xdr:rowOff>
    </xdr:from>
    <xdr:to>
      <xdr:col>4</xdr:col>
      <xdr:colOff>367189</xdr:colOff>
      <xdr:row>8</xdr:row>
      <xdr:rowOff>118795</xdr:rowOff>
    </xdr:to>
    <xdr:sp macro="" textlink="">
      <xdr:nvSpPr>
        <xdr:cNvPr id="45" name="Graphic 37" descr="Coins">
          <a:extLst>
            <a:ext uri="{FF2B5EF4-FFF2-40B4-BE49-F238E27FC236}">
              <a16:creationId xmlns:a16="http://schemas.microsoft.com/office/drawing/2014/main" id="{45E0D031-51D5-42F2-988D-835F6514555B}"/>
            </a:ext>
          </a:extLst>
        </xdr:cNvPr>
        <xdr:cNvSpPr/>
      </xdr:nvSpPr>
      <xdr:spPr>
        <a:xfrm>
          <a:off x="2744629" y="1033195"/>
          <a:ext cx="365760" cy="457200"/>
        </a:xfrm>
        <a:custGeom>
          <a:avLst/>
          <a:gdLst>
            <a:gd name="connsiteX0" fmla="*/ 751046 w 809625"/>
            <a:gd name="connsiteY0" fmla="*/ 578644 h 695325"/>
            <a:gd name="connsiteX1" fmla="*/ 712946 w 809625"/>
            <a:gd name="connsiteY1" fmla="*/ 611029 h 695325"/>
            <a:gd name="connsiteX2" fmla="*/ 712946 w 809625"/>
            <a:gd name="connsiteY2" fmla="*/ 576739 h 695325"/>
            <a:gd name="connsiteX3" fmla="*/ 751046 w 809625"/>
            <a:gd name="connsiteY3" fmla="*/ 561499 h 695325"/>
            <a:gd name="connsiteX4" fmla="*/ 751046 w 809625"/>
            <a:gd name="connsiteY4" fmla="*/ 578644 h 695325"/>
            <a:gd name="connsiteX5" fmla="*/ 674846 w 809625"/>
            <a:gd name="connsiteY5" fmla="*/ 515779 h 695325"/>
            <a:gd name="connsiteX6" fmla="*/ 674846 w 809625"/>
            <a:gd name="connsiteY6" fmla="*/ 481489 h 695325"/>
            <a:gd name="connsiteX7" fmla="*/ 712946 w 809625"/>
            <a:gd name="connsiteY7" fmla="*/ 466249 h 695325"/>
            <a:gd name="connsiteX8" fmla="*/ 712946 w 809625"/>
            <a:gd name="connsiteY8" fmla="*/ 483394 h 695325"/>
            <a:gd name="connsiteX9" fmla="*/ 674846 w 809625"/>
            <a:gd name="connsiteY9" fmla="*/ 515779 h 695325"/>
            <a:gd name="connsiteX10" fmla="*/ 674846 w 809625"/>
            <a:gd name="connsiteY10" fmla="*/ 622459 h 695325"/>
            <a:gd name="connsiteX11" fmla="*/ 636746 w 809625"/>
            <a:gd name="connsiteY11" fmla="*/ 629126 h 695325"/>
            <a:gd name="connsiteX12" fmla="*/ 636746 w 809625"/>
            <a:gd name="connsiteY12" fmla="*/ 591979 h 695325"/>
            <a:gd name="connsiteX13" fmla="*/ 674846 w 809625"/>
            <a:gd name="connsiteY13" fmla="*/ 586264 h 695325"/>
            <a:gd name="connsiteX14" fmla="*/ 674846 w 809625"/>
            <a:gd name="connsiteY14" fmla="*/ 622459 h 695325"/>
            <a:gd name="connsiteX15" fmla="*/ 598646 w 809625"/>
            <a:gd name="connsiteY15" fmla="*/ 496729 h 695325"/>
            <a:gd name="connsiteX16" fmla="*/ 636746 w 809625"/>
            <a:gd name="connsiteY16" fmla="*/ 491014 h 695325"/>
            <a:gd name="connsiteX17" fmla="*/ 636746 w 809625"/>
            <a:gd name="connsiteY17" fmla="*/ 527209 h 695325"/>
            <a:gd name="connsiteX18" fmla="*/ 598646 w 809625"/>
            <a:gd name="connsiteY18" fmla="*/ 533876 h 695325"/>
            <a:gd name="connsiteX19" fmla="*/ 598646 w 809625"/>
            <a:gd name="connsiteY19" fmla="*/ 496729 h 695325"/>
            <a:gd name="connsiteX20" fmla="*/ 598646 w 809625"/>
            <a:gd name="connsiteY20" fmla="*/ 633889 h 695325"/>
            <a:gd name="connsiteX21" fmla="*/ 560546 w 809625"/>
            <a:gd name="connsiteY21" fmla="*/ 635794 h 695325"/>
            <a:gd name="connsiteX22" fmla="*/ 560546 w 809625"/>
            <a:gd name="connsiteY22" fmla="*/ 597694 h 695325"/>
            <a:gd name="connsiteX23" fmla="*/ 598646 w 809625"/>
            <a:gd name="connsiteY23" fmla="*/ 595789 h 695325"/>
            <a:gd name="connsiteX24" fmla="*/ 598646 w 809625"/>
            <a:gd name="connsiteY24" fmla="*/ 633889 h 695325"/>
            <a:gd name="connsiteX25" fmla="*/ 522446 w 809625"/>
            <a:gd name="connsiteY25" fmla="*/ 540544 h 695325"/>
            <a:gd name="connsiteX26" fmla="*/ 522446 w 809625"/>
            <a:gd name="connsiteY26" fmla="*/ 502444 h 695325"/>
            <a:gd name="connsiteX27" fmla="*/ 560546 w 809625"/>
            <a:gd name="connsiteY27" fmla="*/ 500539 h 695325"/>
            <a:gd name="connsiteX28" fmla="*/ 560546 w 809625"/>
            <a:gd name="connsiteY28" fmla="*/ 538639 h 695325"/>
            <a:gd name="connsiteX29" fmla="*/ 522446 w 809625"/>
            <a:gd name="connsiteY29" fmla="*/ 540544 h 695325"/>
            <a:gd name="connsiteX30" fmla="*/ 522446 w 809625"/>
            <a:gd name="connsiteY30" fmla="*/ 635794 h 695325"/>
            <a:gd name="connsiteX31" fmla="*/ 484346 w 809625"/>
            <a:gd name="connsiteY31" fmla="*/ 633889 h 695325"/>
            <a:gd name="connsiteX32" fmla="*/ 484346 w 809625"/>
            <a:gd name="connsiteY32" fmla="*/ 597694 h 695325"/>
            <a:gd name="connsiteX33" fmla="*/ 503396 w 809625"/>
            <a:gd name="connsiteY33" fmla="*/ 597694 h 695325"/>
            <a:gd name="connsiteX34" fmla="*/ 522446 w 809625"/>
            <a:gd name="connsiteY34" fmla="*/ 597694 h 695325"/>
            <a:gd name="connsiteX35" fmla="*/ 522446 w 809625"/>
            <a:gd name="connsiteY35" fmla="*/ 635794 h 695325"/>
            <a:gd name="connsiteX36" fmla="*/ 446246 w 809625"/>
            <a:gd name="connsiteY36" fmla="*/ 500539 h 695325"/>
            <a:gd name="connsiteX37" fmla="*/ 484346 w 809625"/>
            <a:gd name="connsiteY37" fmla="*/ 502444 h 695325"/>
            <a:gd name="connsiteX38" fmla="*/ 484346 w 809625"/>
            <a:gd name="connsiteY38" fmla="*/ 540544 h 695325"/>
            <a:gd name="connsiteX39" fmla="*/ 446246 w 809625"/>
            <a:gd name="connsiteY39" fmla="*/ 538639 h 695325"/>
            <a:gd name="connsiteX40" fmla="*/ 446246 w 809625"/>
            <a:gd name="connsiteY40" fmla="*/ 500539 h 695325"/>
            <a:gd name="connsiteX41" fmla="*/ 446246 w 809625"/>
            <a:gd name="connsiteY41" fmla="*/ 629126 h 695325"/>
            <a:gd name="connsiteX42" fmla="*/ 408146 w 809625"/>
            <a:gd name="connsiteY42" fmla="*/ 622459 h 695325"/>
            <a:gd name="connsiteX43" fmla="*/ 408146 w 809625"/>
            <a:gd name="connsiteY43" fmla="*/ 591979 h 695325"/>
            <a:gd name="connsiteX44" fmla="*/ 446246 w 809625"/>
            <a:gd name="connsiteY44" fmla="*/ 595789 h 695325"/>
            <a:gd name="connsiteX45" fmla="*/ 446246 w 809625"/>
            <a:gd name="connsiteY45" fmla="*/ 629126 h 695325"/>
            <a:gd name="connsiteX46" fmla="*/ 370046 w 809625"/>
            <a:gd name="connsiteY46" fmla="*/ 527209 h 695325"/>
            <a:gd name="connsiteX47" fmla="*/ 370046 w 809625"/>
            <a:gd name="connsiteY47" fmla="*/ 490061 h 695325"/>
            <a:gd name="connsiteX48" fmla="*/ 408146 w 809625"/>
            <a:gd name="connsiteY48" fmla="*/ 495776 h 695325"/>
            <a:gd name="connsiteX49" fmla="*/ 408146 w 809625"/>
            <a:gd name="connsiteY49" fmla="*/ 533876 h 695325"/>
            <a:gd name="connsiteX50" fmla="*/ 370046 w 809625"/>
            <a:gd name="connsiteY50" fmla="*/ 527209 h 695325"/>
            <a:gd name="connsiteX51" fmla="*/ 370046 w 809625"/>
            <a:gd name="connsiteY51" fmla="*/ 611029 h 695325"/>
            <a:gd name="connsiteX52" fmla="*/ 331946 w 809625"/>
            <a:gd name="connsiteY52" fmla="*/ 578644 h 695325"/>
            <a:gd name="connsiteX53" fmla="*/ 331946 w 809625"/>
            <a:gd name="connsiteY53" fmla="*/ 576739 h 695325"/>
            <a:gd name="connsiteX54" fmla="*/ 332899 w 809625"/>
            <a:gd name="connsiteY54" fmla="*/ 576739 h 695325"/>
            <a:gd name="connsiteX55" fmla="*/ 340519 w 809625"/>
            <a:gd name="connsiteY55" fmla="*/ 578644 h 695325"/>
            <a:gd name="connsiteX56" fmla="*/ 370046 w 809625"/>
            <a:gd name="connsiteY56" fmla="*/ 585311 h 695325"/>
            <a:gd name="connsiteX57" fmla="*/ 370046 w 809625"/>
            <a:gd name="connsiteY57" fmla="*/ 611029 h 695325"/>
            <a:gd name="connsiteX58" fmla="*/ 217646 w 809625"/>
            <a:gd name="connsiteY58" fmla="*/ 481489 h 695325"/>
            <a:gd name="connsiteX59" fmla="*/ 236696 w 809625"/>
            <a:gd name="connsiteY59" fmla="*/ 482441 h 695325"/>
            <a:gd name="connsiteX60" fmla="*/ 236696 w 809625"/>
            <a:gd name="connsiteY60" fmla="*/ 483394 h 695325"/>
            <a:gd name="connsiteX61" fmla="*/ 246221 w 809625"/>
            <a:gd name="connsiteY61" fmla="*/ 520541 h 695325"/>
            <a:gd name="connsiteX62" fmla="*/ 217646 w 809625"/>
            <a:gd name="connsiteY62" fmla="*/ 518636 h 695325"/>
            <a:gd name="connsiteX63" fmla="*/ 217646 w 809625"/>
            <a:gd name="connsiteY63" fmla="*/ 481489 h 695325"/>
            <a:gd name="connsiteX64" fmla="*/ 179546 w 809625"/>
            <a:gd name="connsiteY64" fmla="*/ 367189 h 695325"/>
            <a:gd name="connsiteX65" fmla="*/ 217646 w 809625"/>
            <a:gd name="connsiteY65" fmla="*/ 372904 h 695325"/>
            <a:gd name="connsiteX66" fmla="*/ 217646 w 809625"/>
            <a:gd name="connsiteY66" fmla="*/ 411004 h 695325"/>
            <a:gd name="connsiteX67" fmla="*/ 179546 w 809625"/>
            <a:gd name="connsiteY67" fmla="*/ 404336 h 695325"/>
            <a:gd name="connsiteX68" fmla="*/ 179546 w 809625"/>
            <a:gd name="connsiteY68" fmla="*/ 367189 h 695325"/>
            <a:gd name="connsiteX69" fmla="*/ 179546 w 809625"/>
            <a:gd name="connsiteY69" fmla="*/ 514826 h 695325"/>
            <a:gd name="connsiteX70" fmla="*/ 141446 w 809625"/>
            <a:gd name="connsiteY70" fmla="*/ 508159 h 695325"/>
            <a:gd name="connsiteX71" fmla="*/ 141446 w 809625"/>
            <a:gd name="connsiteY71" fmla="*/ 471011 h 695325"/>
            <a:gd name="connsiteX72" fmla="*/ 179546 w 809625"/>
            <a:gd name="connsiteY72" fmla="*/ 476726 h 695325"/>
            <a:gd name="connsiteX73" fmla="*/ 179546 w 809625"/>
            <a:gd name="connsiteY73" fmla="*/ 514826 h 695325"/>
            <a:gd name="connsiteX74" fmla="*/ 103346 w 809625"/>
            <a:gd name="connsiteY74" fmla="*/ 359569 h 695325"/>
            <a:gd name="connsiteX75" fmla="*/ 103346 w 809625"/>
            <a:gd name="connsiteY75" fmla="*/ 342424 h 695325"/>
            <a:gd name="connsiteX76" fmla="*/ 141446 w 809625"/>
            <a:gd name="connsiteY76" fmla="*/ 356711 h 695325"/>
            <a:gd name="connsiteX77" fmla="*/ 141446 w 809625"/>
            <a:gd name="connsiteY77" fmla="*/ 391954 h 695325"/>
            <a:gd name="connsiteX78" fmla="*/ 103346 w 809625"/>
            <a:gd name="connsiteY78" fmla="*/ 359569 h 695325"/>
            <a:gd name="connsiteX79" fmla="*/ 103346 w 809625"/>
            <a:gd name="connsiteY79" fmla="*/ 496729 h 695325"/>
            <a:gd name="connsiteX80" fmla="*/ 65246 w 809625"/>
            <a:gd name="connsiteY80" fmla="*/ 464344 h 695325"/>
            <a:gd name="connsiteX81" fmla="*/ 65246 w 809625"/>
            <a:gd name="connsiteY81" fmla="*/ 447199 h 695325"/>
            <a:gd name="connsiteX82" fmla="*/ 103346 w 809625"/>
            <a:gd name="connsiteY82" fmla="*/ 461486 h 695325"/>
            <a:gd name="connsiteX83" fmla="*/ 103346 w 809625"/>
            <a:gd name="connsiteY83" fmla="*/ 496729 h 695325"/>
            <a:gd name="connsiteX84" fmla="*/ 65246 w 809625"/>
            <a:gd name="connsiteY84" fmla="*/ 199549 h 695325"/>
            <a:gd name="connsiteX85" fmla="*/ 103346 w 809625"/>
            <a:gd name="connsiteY85" fmla="*/ 213836 h 695325"/>
            <a:gd name="connsiteX86" fmla="*/ 103346 w 809625"/>
            <a:gd name="connsiteY86" fmla="*/ 249079 h 695325"/>
            <a:gd name="connsiteX87" fmla="*/ 65246 w 809625"/>
            <a:gd name="connsiteY87" fmla="*/ 216694 h 695325"/>
            <a:gd name="connsiteX88" fmla="*/ 65246 w 809625"/>
            <a:gd name="connsiteY88" fmla="*/ 199549 h 695325"/>
            <a:gd name="connsiteX89" fmla="*/ 179546 w 809625"/>
            <a:gd name="connsiteY89" fmla="*/ 230029 h 695325"/>
            <a:gd name="connsiteX90" fmla="*/ 179546 w 809625"/>
            <a:gd name="connsiteY90" fmla="*/ 268129 h 695325"/>
            <a:gd name="connsiteX91" fmla="*/ 141446 w 809625"/>
            <a:gd name="connsiteY91" fmla="*/ 261461 h 695325"/>
            <a:gd name="connsiteX92" fmla="*/ 141446 w 809625"/>
            <a:gd name="connsiteY92" fmla="*/ 224314 h 695325"/>
            <a:gd name="connsiteX93" fmla="*/ 179546 w 809625"/>
            <a:gd name="connsiteY93" fmla="*/ 230029 h 695325"/>
            <a:gd name="connsiteX94" fmla="*/ 274796 w 809625"/>
            <a:gd name="connsiteY94" fmla="*/ 64294 h 695325"/>
            <a:gd name="connsiteX95" fmla="*/ 484346 w 809625"/>
            <a:gd name="connsiteY95" fmla="*/ 121444 h 695325"/>
            <a:gd name="connsiteX96" fmla="*/ 274796 w 809625"/>
            <a:gd name="connsiteY96" fmla="*/ 178594 h 695325"/>
            <a:gd name="connsiteX97" fmla="*/ 65246 w 809625"/>
            <a:gd name="connsiteY97" fmla="*/ 121444 h 695325"/>
            <a:gd name="connsiteX98" fmla="*/ 274796 w 809625"/>
            <a:gd name="connsiteY98" fmla="*/ 64294 h 695325"/>
            <a:gd name="connsiteX99" fmla="*/ 331946 w 809625"/>
            <a:gd name="connsiteY99" fmla="*/ 515779 h 695325"/>
            <a:gd name="connsiteX100" fmla="*/ 293846 w 809625"/>
            <a:gd name="connsiteY100" fmla="*/ 483394 h 695325"/>
            <a:gd name="connsiteX101" fmla="*/ 293846 w 809625"/>
            <a:gd name="connsiteY101" fmla="*/ 466249 h 695325"/>
            <a:gd name="connsiteX102" fmla="*/ 331946 w 809625"/>
            <a:gd name="connsiteY102" fmla="*/ 480536 h 695325"/>
            <a:gd name="connsiteX103" fmla="*/ 331946 w 809625"/>
            <a:gd name="connsiteY103" fmla="*/ 515779 h 695325"/>
            <a:gd name="connsiteX104" fmla="*/ 446246 w 809625"/>
            <a:gd name="connsiteY104" fmla="*/ 249079 h 695325"/>
            <a:gd name="connsiteX105" fmla="*/ 446246 w 809625"/>
            <a:gd name="connsiteY105" fmla="*/ 214789 h 695325"/>
            <a:gd name="connsiteX106" fmla="*/ 484346 w 809625"/>
            <a:gd name="connsiteY106" fmla="*/ 199549 h 695325"/>
            <a:gd name="connsiteX107" fmla="*/ 484346 w 809625"/>
            <a:gd name="connsiteY107" fmla="*/ 216694 h 695325"/>
            <a:gd name="connsiteX108" fmla="*/ 446246 w 809625"/>
            <a:gd name="connsiteY108" fmla="*/ 249079 h 695325"/>
            <a:gd name="connsiteX109" fmla="*/ 370046 w 809625"/>
            <a:gd name="connsiteY109" fmla="*/ 267176 h 695325"/>
            <a:gd name="connsiteX110" fmla="*/ 370046 w 809625"/>
            <a:gd name="connsiteY110" fmla="*/ 230029 h 695325"/>
            <a:gd name="connsiteX111" fmla="*/ 408146 w 809625"/>
            <a:gd name="connsiteY111" fmla="*/ 224314 h 695325"/>
            <a:gd name="connsiteX112" fmla="*/ 408146 w 809625"/>
            <a:gd name="connsiteY112" fmla="*/ 260509 h 695325"/>
            <a:gd name="connsiteX113" fmla="*/ 370046 w 809625"/>
            <a:gd name="connsiteY113" fmla="*/ 267176 h 695325"/>
            <a:gd name="connsiteX114" fmla="*/ 293846 w 809625"/>
            <a:gd name="connsiteY114" fmla="*/ 273844 h 695325"/>
            <a:gd name="connsiteX115" fmla="*/ 293846 w 809625"/>
            <a:gd name="connsiteY115" fmla="*/ 235744 h 695325"/>
            <a:gd name="connsiteX116" fmla="*/ 331946 w 809625"/>
            <a:gd name="connsiteY116" fmla="*/ 233839 h 695325"/>
            <a:gd name="connsiteX117" fmla="*/ 331946 w 809625"/>
            <a:gd name="connsiteY117" fmla="*/ 271939 h 695325"/>
            <a:gd name="connsiteX118" fmla="*/ 293846 w 809625"/>
            <a:gd name="connsiteY118" fmla="*/ 273844 h 695325"/>
            <a:gd name="connsiteX119" fmla="*/ 217646 w 809625"/>
            <a:gd name="connsiteY119" fmla="*/ 271939 h 695325"/>
            <a:gd name="connsiteX120" fmla="*/ 217646 w 809625"/>
            <a:gd name="connsiteY120" fmla="*/ 233839 h 695325"/>
            <a:gd name="connsiteX121" fmla="*/ 255746 w 809625"/>
            <a:gd name="connsiteY121" fmla="*/ 235744 h 695325"/>
            <a:gd name="connsiteX122" fmla="*/ 255746 w 809625"/>
            <a:gd name="connsiteY122" fmla="*/ 273844 h 695325"/>
            <a:gd name="connsiteX123" fmla="*/ 217646 w 809625"/>
            <a:gd name="connsiteY123" fmla="*/ 271939 h 695325"/>
            <a:gd name="connsiteX124" fmla="*/ 712946 w 809625"/>
            <a:gd name="connsiteY124" fmla="*/ 388144 h 695325"/>
            <a:gd name="connsiteX125" fmla="*/ 503396 w 809625"/>
            <a:gd name="connsiteY125" fmla="*/ 445294 h 695325"/>
            <a:gd name="connsiteX126" fmla="*/ 293846 w 809625"/>
            <a:gd name="connsiteY126" fmla="*/ 388144 h 695325"/>
            <a:gd name="connsiteX127" fmla="*/ 503396 w 809625"/>
            <a:gd name="connsiteY127" fmla="*/ 330994 h 695325"/>
            <a:gd name="connsiteX128" fmla="*/ 712946 w 809625"/>
            <a:gd name="connsiteY128" fmla="*/ 388144 h 695325"/>
            <a:gd name="connsiteX129" fmla="*/ 770096 w 809625"/>
            <a:gd name="connsiteY129" fmla="*/ 416719 h 695325"/>
            <a:gd name="connsiteX130" fmla="*/ 770096 w 809625"/>
            <a:gd name="connsiteY130" fmla="*/ 388144 h 695325"/>
            <a:gd name="connsiteX131" fmla="*/ 666274 w 809625"/>
            <a:gd name="connsiteY131" fmla="*/ 292894 h 695325"/>
            <a:gd name="connsiteX132" fmla="*/ 577691 w 809625"/>
            <a:gd name="connsiteY132" fmla="*/ 277654 h 695325"/>
            <a:gd name="connsiteX133" fmla="*/ 578644 w 809625"/>
            <a:gd name="connsiteY133" fmla="*/ 264319 h 695325"/>
            <a:gd name="connsiteX134" fmla="*/ 540544 w 809625"/>
            <a:gd name="connsiteY134" fmla="*/ 197644 h 695325"/>
            <a:gd name="connsiteX135" fmla="*/ 540544 w 809625"/>
            <a:gd name="connsiteY135" fmla="*/ 121444 h 695325"/>
            <a:gd name="connsiteX136" fmla="*/ 436721 w 809625"/>
            <a:gd name="connsiteY136" fmla="*/ 26194 h 695325"/>
            <a:gd name="connsiteX137" fmla="*/ 273844 w 809625"/>
            <a:gd name="connsiteY137" fmla="*/ 7144 h 695325"/>
            <a:gd name="connsiteX138" fmla="*/ 7144 w 809625"/>
            <a:gd name="connsiteY138" fmla="*/ 121444 h 695325"/>
            <a:gd name="connsiteX139" fmla="*/ 7144 w 809625"/>
            <a:gd name="connsiteY139" fmla="*/ 216694 h 695325"/>
            <a:gd name="connsiteX140" fmla="*/ 45244 w 809625"/>
            <a:gd name="connsiteY140" fmla="*/ 283369 h 695325"/>
            <a:gd name="connsiteX141" fmla="*/ 45244 w 809625"/>
            <a:gd name="connsiteY141" fmla="*/ 301466 h 695325"/>
            <a:gd name="connsiteX142" fmla="*/ 7144 w 809625"/>
            <a:gd name="connsiteY142" fmla="*/ 369094 h 695325"/>
            <a:gd name="connsiteX143" fmla="*/ 7144 w 809625"/>
            <a:gd name="connsiteY143" fmla="*/ 464344 h 695325"/>
            <a:gd name="connsiteX144" fmla="*/ 110966 w 809625"/>
            <a:gd name="connsiteY144" fmla="*/ 559594 h 695325"/>
            <a:gd name="connsiteX145" fmla="*/ 273844 w 809625"/>
            <a:gd name="connsiteY145" fmla="*/ 578644 h 695325"/>
            <a:gd name="connsiteX146" fmla="*/ 377666 w 809625"/>
            <a:gd name="connsiteY146" fmla="*/ 673894 h 695325"/>
            <a:gd name="connsiteX147" fmla="*/ 540544 w 809625"/>
            <a:gd name="connsiteY147" fmla="*/ 692944 h 695325"/>
            <a:gd name="connsiteX148" fmla="*/ 807244 w 809625"/>
            <a:gd name="connsiteY148" fmla="*/ 578644 h 695325"/>
            <a:gd name="connsiteX149" fmla="*/ 807244 w 809625"/>
            <a:gd name="connsiteY149" fmla="*/ 483394 h 695325"/>
            <a:gd name="connsiteX150" fmla="*/ 770096 w 809625"/>
            <a:gd name="connsiteY150" fmla="*/ 416719 h 6953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Lst>
          <a:rect l="l" t="t" r="r" b="b"/>
          <a:pathLst>
            <a:path w="809625" h="695325">
              <a:moveTo>
                <a:pt x="751046" y="578644"/>
              </a:moveTo>
              <a:cubicBezTo>
                <a:pt x="751046" y="591026"/>
                <a:pt x="736759" y="602456"/>
                <a:pt x="712946" y="611029"/>
              </a:cubicBezTo>
              <a:lnTo>
                <a:pt x="712946" y="576739"/>
              </a:lnTo>
              <a:cubicBezTo>
                <a:pt x="726281" y="572929"/>
                <a:pt x="739616" y="567214"/>
                <a:pt x="751046" y="561499"/>
              </a:cubicBezTo>
              <a:lnTo>
                <a:pt x="751046" y="578644"/>
              </a:lnTo>
              <a:close/>
              <a:moveTo>
                <a:pt x="674846" y="515779"/>
              </a:moveTo>
              <a:lnTo>
                <a:pt x="674846" y="481489"/>
              </a:lnTo>
              <a:cubicBezTo>
                <a:pt x="688181" y="477679"/>
                <a:pt x="701516" y="471964"/>
                <a:pt x="712946" y="466249"/>
              </a:cubicBezTo>
              <a:lnTo>
                <a:pt x="712946" y="483394"/>
              </a:lnTo>
              <a:cubicBezTo>
                <a:pt x="712946" y="495776"/>
                <a:pt x="698659" y="507206"/>
                <a:pt x="674846" y="515779"/>
              </a:cubicBezTo>
              <a:close/>
              <a:moveTo>
                <a:pt x="674846" y="622459"/>
              </a:moveTo>
              <a:cubicBezTo>
                <a:pt x="663416" y="625316"/>
                <a:pt x="650081" y="627221"/>
                <a:pt x="636746" y="629126"/>
              </a:cubicBezTo>
              <a:lnTo>
                <a:pt x="636746" y="591979"/>
              </a:lnTo>
              <a:cubicBezTo>
                <a:pt x="649129" y="590074"/>
                <a:pt x="662464" y="588169"/>
                <a:pt x="674846" y="586264"/>
              </a:cubicBezTo>
              <a:lnTo>
                <a:pt x="674846" y="622459"/>
              </a:lnTo>
              <a:close/>
              <a:moveTo>
                <a:pt x="598646" y="496729"/>
              </a:moveTo>
              <a:cubicBezTo>
                <a:pt x="611029" y="494824"/>
                <a:pt x="624364" y="492919"/>
                <a:pt x="636746" y="491014"/>
              </a:cubicBezTo>
              <a:lnTo>
                <a:pt x="636746" y="527209"/>
              </a:lnTo>
              <a:cubicBezTo>
                <a:pt x="625316" y="530066"/>
                <a:pt x="611981" y="531971"/>
                <a:pt x="598646" y="533876"/>
              </a:cubicBezTo>
              <a:lnTo>
                <a:pt x="598646" y="496729"/>
              </a:lnTo>
              <a:close/>
              <a:moveTo>
                <a:pt x="598646" y="633889"/>
              </a:moveTo>
              <a:cubicBezTo>
                <a:pt x="586264" y="634841"/>
                <a:pt x="573881" y="635794"/>
                <a:pt x="560546" y="635794"/>
              </a:cubicBezTo>
              <a:lnTo>
                <a:pt x="560546" y="597694"/>
              </a:lnTo>
              <a:cubicBezTo>
                <a:pt x="571976" y="597694"/>
                <a:pt x="585311" y="596741"/>
                <a:pt x="598646" y="595789"/>
              </a:cubicBezTo>
              <a:lnTo>
                <a:pt x="598646" y="633889"/>
              </a:lnTo>
              <a:close/>
              <a:moveTo>
                <a:pt x="522446" y="540544"/>
              </a:moveTo>
              <a:lnTo>
                <a:pt x="522446" y="502444"/>
              </a:lnTo>
              <a:cubicBezTo>
                <a:pt x="533876" y="502444"/>
                <a:pt x="547211" y="501491"/>
                <a:pt x="560546" y="500539"/>
              </a:cubicBezTo>
              <a:lnTo>
                <a:pt x="560546" y="538639"/>
              </a:lnTo>
              <a:cubicBezTo>
                <a:pt x="548164" y="539591"/>
                <a:pt x="535781" y="539591"/>
                <a:pt x="522446" y="540544"/>
              </a:cubicBezTo>
              <a:close/>
              <a:moveTo>
                <a:pt x="522446" y="635794"/>
              </a:moveTo>
              <a:cubicBezTo>
                <a:pt x="509111" y="635794"/>
                <a:pt x="496729" y="634841"/>
                <a:pt x="484346" y="633889"/>
              </a:cubicBezTo>
              <a:lnTo>
                <a:pt x="484346" y="597694"/>
              </a:lnTo>
              <a:cubicBezTo>
                <a:pt x="491014" y="597694"/>
                <a:pt x="496729" y="597694"/>
                <a:pt x="503396" y="597694"/>
              </a:cubicBezTo>
              <a:cubicBezTo>
                <a:pt x="509111" y="597694"/>
                <a:pt x="515779" y="597694"/>
                <a:pt x="522446" y="597694"/>
              </a:cubicBezTo>
              <a:lnTo>
                <a:pt x="522446" y="635794"/>
              </a:lnTo>
              <a:close/>
              <a:moveTo>
                <a:pt x="446246" y="500539"/>
              </a:moveTo>
              <a:cubicBezTo>
                <a:pt x="458629" y="501491"/>
                <a:pt x="471011" y="502444"/>
                <a:pt x="484346" y="502444"/>
              </a:cubicBezTo>
              <a:lnTo>
                <a:pt x="484346" y="540544"/>
              </a:lnTo>
              <a:cubicBezTo>
                <a:pt x="471011" y="540544"/>
                <a:pt x="458629" y="539591"/>
                <a:pt x="446246" y="538639"/>
              </a:cubicBezTo>
              <a:lnTo>
                <a:pt x="446246" y="500539"/>
              </a:lnTo>
              <a:close/>
              <a:moveTo>
                <a:pt x="446246" y="629126"/>
              </a:moveTo>
              <a:cubicBezTo>
                <a:pt x="432911" y="627221"/>
                <a:pt x="419576" y="625316"/>
                <a:pt x="408146" y="622459"/>
              </a:cubicBezTo>
              <a:lnTo>
                <a:pt x="408146" y="591979"/>
              </a:lnTo>
              <a:cubicBezTo>
                <a:pt x="420529" y="593884"/>
                <a:pt x="432911" y="594836"/>
                <a:pt x="446246" y="595789"/>
              </a:cubicBezTo>
              <a:lnTo>
                <a:pt x="446246" y="629126"/>
              </a:lnTo>
              <a:close/>
              <a:moveTo>
                <a:pt x="370046" y="527209"/>
              </a:moveTo>
              <a:lnTo>
                <a:pt x="370046" y="490061"/>
              </a:lnTo>
              <a:cubicBezTo>
                <a:pt x="382429" y="491966"/>
                <a:pt x="394811" y="494824"/>
                <a:pt x="408146" y="495776"/>
              </a:cubicBezTo>
              <a:lnTo>
                <a:pt x="408146" y="533876"/>
              </a:lnTo>
              <a:cubicBezTo>
                <a:pt x="394811" y="531971"/>
                <a:pt x="381476" y="530066"/>
                <a:pt x="370046" y="527209"/>
              </a:cubicBezTo>
              <a:close/>
              <a:moveTo>
                <a:pt x="370046" y="611029"/>
              </a:moveTo>
              <a:cubicBezTo>
                <a:pt x="346234" y="601504"/>
                <a:pt x="331946" y="590074"/>
                <a:pt x="331946" y="578644"/>
              </a:cubicBezTo>
              <a:lnTo>
                <a:pt x="331946" y="576739"/>
              </a:lnTo>
              <a:cubicBezTo>
                <a:pt x="331946" y="576739"/>
                <a:pt x="331946" y="576739"/>
                <a:pt x="332899" y="576739"/>
              </a:cubicBezTo>
              <a:cubicBezTo>
                <a:pt x="335756" y="577691"/>
                <a:pt x="337661" y="578644"/>
                <a:pt x="340519" y="578644"/>
              </a:cubicBezTo>
              <a:cubicBezTo>
                <a:pt x="350044" y="581501"/>
                <a:pt x="359569" y="583406"/>
                <a:pt x="370046" y="585311"/>
              </a:cubicBezTo>
              <a:lnTo>
                <a:pt x="370046" y="611029"/>
              </a:lnTo>
              <a:close/>
              <a:moveTo>
                <a:pt x="217646" y="481489"/>
              </a:moveTo>
              <a:cubicBezTo>
                <a:pt x="224314" y="481489"/>
                <a:pt x="230029" y="482441"/>
                <a:pt x="236696" y="482441"/>
              </a:cubicBezTo>
              <a:lnTo>
                <a:pt x="236696" y="483394"/>
              </a:lnTo>
              <a:cubicBezTo>
                <a:pt x="236696" y="496729"/>
                <a:pt x="239554" y="510064"/>
                <a:pt x="246221" y="520541"/>
              </a:cubicBezTo>
              <a:cubicBezTo>
                <a:pt x="236696" y="520541"/>
                <a:pt x="227171" y="519589"/>
                <a:pt x="217646" y="518636"/>
              </a:cubicBezTo>
              <a:lnTo>
                <a:pt x="217646" y="481489"/>
              </a:lnTo>
              <a:close/>
              <a:moveTo>
                <a:pt x="179546" y="367189"/>
              </a:moveTo>
              <a:cubicBezTo>
                <a:pt x="191929" y="369094"/>
                <a:pt x="204311" y="371951"/>
                <a:pt x="217646" y="372904"/>
              </a:cubicBezTo>
              <a:lnTo>
                <a:pt x="217646" y="411004"/>
              </a:lnTo>
              <a:cubicBezTo>
                <a:pt x="204311" y="409099"/>
                <a:pt x="190976" y="407194"/>
                <a:pt x="179546" y="404336"/>
              </a:cubicBezTo>
              <a:lnTo>
                <a:pt x="179546" y="367189"/>
              </a:lnTo>
              <a:close/>
              <a:moveTo>
                <a:pt x="179546" y="514826"/>
              </a:moveTo>
              <a:cubicBezTo>
                <a:pt x="166211" y="512921"/>
                <a:pt x="152876" y="511016"/>
                <a:pt x="141446" y="508159"/>
              </a:cubicBezTo>
              <a:lnTo>
                <a:pt x="141446" y="471011"/>
              </a:lnTo>
              <a:cubicBezTo>
                <a:pt x="153829" y="472916"/>
                <a:pt x="166211" y="475774"/>
                <a:pt x="179546" y="476726"/>
              </a:cubicBezTo>
              <a:lnTo>
                <a:pt x="179546" y="514826"/>
              </a:lnTo>
              <a:close/>
              <a:moveTo>
                <a:pt x="103346" y="359569"/>
              </a:moveTo>
              <a:lnTo>
                <a:pt x="103346" y="342424"/>
              </a:lnTo>
              <a:cubicBezTo>
                <a:pt x="114776" y="348139"/>
                <a:pt x="127159" y="352901"/>
                <a:pt x="141446" y="356711"/>
              </a:cubicBezTo>
              <a:lnTo>
                <a:pt x="141446" y="391954"/>
              </a:lnTo>
              <a:cubicBezTo>
                <a:pt x="117634" y="383381"/>
                <a:pt x="103346" y="371951"/>
                <a:pt x="103346" y="359569"/>
              </a:cubicBezTo>
              <a:close/>
              <a:moveTo>
                <a:pt x="103346" y="496729"/>
              </a:moveTo>
              <a:cubicBezTo>
                <a:pt x="79534" y="487204"/>
                <a:pt x="65246" y="475774"/>
                <a:pt x="65246" y="464344"/>
              </a:cubicBezTo>
              <a:lnTo>
                <a:pt x="65246" y="447199"/>
              </a:lnTo>
              <a:cubicBezTo>
                <a:pt x="76676" y="452914"/>
                <a:pt x="89059" y="457676"/>
                <a:pt x="103346" y="461486"/>
              </a:cubicBezTo>
              <a:lnTo>
                <a:pt x="103346" y="496729"/>
              </a:lnTo>
              <a:close/>
              <a:moveTo>
                <a:pt x="65246" y="199549"/>
              </a:moveTo>
              <a:cubicBezTo>
                <a:pt x="76676" y="205264"/>
                <a:pt x="89059" y="210026"/>
                <a:pt x="103346" y="213836"/>
              </a:cubicBezTo>
              <a:lnTo>
                <a:pt x="103346" y="249079"/>
              </a:lnTo>
              <a:cubicBezTo>
                <a:pt x="79534" y="239554"/>
                <a:pt x="65246" y="228124"/>
                <a:pt x="65246" y="216694"/>
              </a:cubicBezTo>
              <a:lnTo>
                <a:pt x="65246" y="199549"/>
              </a:lnTo>
              <a:close/>
              <a:moveTo>
                <a:pt x="179546" y="230029"/>
              </a:moveTo>
              <a:lnTo>
                <a:pt x="179546" y="268129"/>
              </a:lnTo>
              <a:cubicBezTo>
                <a:pt x="166211" y="266224"/>
                <a:pt x="152876" y="264319"/>
                <a:pt x="141446" y="261461"/>
              </a:cubicBezTo>
              <a:lnTo>
                <a:pt x="141446" y="224314"/>
              </a:lnTo>
              <a:cubicBezTo>
                <a:pt x="153829" y="226219"/>
                <a:pt x="166211" y="228124"/>
                <a:pt x="179546" y="230029"/>
              </a:cubicBezTo>
              <a:close/>
              <a:moveTo>
                <a:pt x="274796" y="64294"/>
              </a:moveTo>
              <a:cubicBezTo>
                <a:pt x="391001" y="64294"/>
                <a:pt x="484346" y="90011"/>
                <a:pt x="484346" y="121444"/>
              </a:cubicBezTo>
              <a:cubicBezTo>
                <a:pt x="484346" y="152876"/>
                <a:pt x="391001" y="178594"/>
                <a:pt x="274796" y="178594"/>
              </a:cubicBezTo>
              <a:cubicBezTo>
                <a:pt x="158591" y="178594"/>
                <a:pt x="65246" y="152876"/>
                <a:pt x="65246" y="121444"/>
              </a:cubicBezTo>
              <a:cubicBezTo>
                <a:pt x="65246" y="90011"/>
                <a:pt x="158591" y="64294"/>
                <a:pt x="274796" y="64294"/>
              </a:cubicBezTo>
              <a:close/>
              <a:moveTo>
                <a:pt x="331946" y="515779"/>
              </a:moveTo>
              <a:cubicBezTo>
                <a:pt x="308134" y="506254"/>
                <a:pt x="293846" y="494824"/>
                <a:pt x="293846" y="483394"/>
              </a:cubicBezTo>
              <a:lnTo>
                <a:pt x="293846" y="466249"/>
              </a:lnTo>
              <a:cubicBezTo>
                <a:pt x="305276" y="471964"/>
                <a:pt x="317659" y="476726"/>
                <a:pt x="331946" y="480536"/>
              </a:cubicBezTo>
              <a:lnTo>
                <a:pt x="331946" y="515779"/>
              </a:lnTo>
              <a:close/>
              <a:moveTo>
                <a:pt x="446246" y="249079"/>
              </a:moveTo>
              <a:lnTo>
                <a:pt x="446246" y="214789"/>
              </a:lnTo>
              <a:cubicBezTo>
                <a:pt x="459581" y="210979"/>
                <a:pt x="472916" y="205264"/>
                <a:pt x="484346" y="199549"/>
              </a:cubicBezTo>
              <a:lnTo>
                <a:pt x="484346" y="216694"/>
              </a:lnTo>
              <a:cubicBezTo>
                <a:pt x="484346" y="229076"/>
                <a:pt x="470059" y="240506"/>
                <a:pt x="446246" y="249079"/>
              </a:cubicBezTo>
              <a:close/>
              <a:moveTo>
                <a:pt x="370046" y="267176"/>
              </a:moveTo>
              <a:lnTo>
                <a:pt x="370046" y="230029"/>
              </a:lnTo>
              <a:cubicBezTo>
                <a:pt x="382429" y="228124"/>
                <a:pt x="395764" y="226219"/>
                <a:pt x="408146" y="224314"/>
              </a:cubicBezTo>
              <a:lnTo>
                <a:pt x="408146" y="260509"/>
              </a:lnTo>
              <a:cubicBezTo>
                <a:pt x="396716" y="263366"/>
                <a:pt x="383381" y="265271"/>
                <a:pt x="370046" y="267176"/>
              </a:cubicBezTo>
              <a:close/>
              <a:moveTo>
                <a:pt x="293846" y="273844"/>
              </a:moveTo>
              <a:lnTo>
                <a:pt x="293846" y="235744"/>
              </a:lnTo>
              <a:cubicBezTo>
                <a:pt x="305276" y="235744"/>
                <a:pt x="318611" y="234791"/>
                <a:pt x="331946" y="233839"/>
              </a:cubicBezTo>
              <a:lnTo>
                <a:pt x="331946" y="271939"/>
              </a:lnTo>
              <a:cubicBezTo>
                <a:pt x="319564" y="272891"/>
                <a:pt x="307181" y="272891"/>
                <a:pt x="293846" y="273844"/>
              </a:cubicBezTo>
              <a:close/>
              <a:moveTo>
                <a:pt x="217646" y="271939"/>
              </a:moveTo>
              <a:lnTo>
                <a:pt x="217646" y="233839"/>
              </a:lnTo>
              <a:cubicBezTo>
                <a:pt x="230029" y="234791"/>
                <a:pt x="242411" y="235744"/>
                <a:pt x="255746" y="235744"/>
              </a:cubicBezTo>
              <a:lnTo>
                <a:pt x="255746" y="273844"/>
              </a:lnTo>
              <a:cubicBezTo>
                <a:pt x="242411" y="272891"/>
                <a:pt x="230029" y="272891"/>
                <a:pt x="217646" y="271939"/>
              </a:cubicBezTo>
              <a:close/>
              <a:moveTo>
                <a:pt x="712946" y="388144"/>
              </a:moveTo>
              <a:cubicBezTo>
                <a:pt x="712946" y="419576"/>
                <a:pt x="619601" y="445294"/>
                <a:pt x="503396" y="445294"/>
              </a:cubicBezTo>
              <a:cubicBezTo>
                <a:pt x="387191" y="445294"/>
                <a:pt x="293846" y="419576"/>
                <a:pt x="293846" y="388144"/>
              </a:cubicBezTo>
              <a:cubicBezTo>
                <a:pt x="293846" y="356711"/>
                <a:pt x="387191" y="330994"/>
                <a:pt x="503396" y="330994"/>
              </a:cubicBezTo>
              <a:cubicBezTo>
                <a:pt x="619601" y="330994"/>
                <a:pt x="712946" y="356711"/>
                <a:pt x="712946" y="388144"/>
              </a:cubicBezTo>
              <a:close/>
              <a:moveTo>
                <a:pt x="770096" y="416719"/>
              </a:moveTo>
              <a:lnTo>
                <a:pt x="770096" y="388144"/>
              </a:lnTo>
              <a:cubicBezTo>
                <a:pt x="770096" y="343376"/>
                <a:pt x="734854" y="310991"/>
                <a:pt x="666274" y="292894"/>
              </a:cubicBezTo>
              <a:cubicBezTo>
                <a:pt x="640556" y="286226"/>
                <a:pt x="611029" y="280511"/>
                <a:pt x="577691" y="277654"/>
              </a:cubicBezTo>
              <a:cubicBezTo>
                <a:pt x="578644" y="273844"/>
                <a:pt x="578644" y="269081"/>
                <a:pt x="578644" y="264319"/>
              </a:cubicBezTo>
              <a:cubicBezTo>
                <a:pt x="578644" y="237649"/>
                <a:pt x="566261" y="214789"/>
                <a:pt x="540544" y="197644"/>
              </a:cubicBezTo>
              <a:lnTo>
                <a:pt x="540544" y="121444"/>
              </a:lnTo>
              <a:cubicBezTo>
                <a:pt x="540544" y="76676"/>
                <a:pt x="505301" y="44291"/>
                <a:pt x="436721" y="26194"/>
              </a:cubicBezTo>
              <a:cubicBezTo>
                <a:pt x="391954" y="13811"/>
                <a:pt x="334804" y="7144"/>
                <a:pt x="273844" y="7144"/>
              </a:cubicBezTo>
              <a:cubicBezTo>
                <a:pt x="193834" y="7144"/>
                <a:pt x="7144" y="18574"/>
                <a:pt x="7144" y="121444"/>
              </a:cubicBezTo>
              <a:lnTo>
                <a:pt x="7144" y="216694"/>
              </a:lnTo>
              <a:cubicBezTo>
                <a:pt x="7144" y="243364"/>
                <a:pt x="19526" y="266224"/>
                <a:pt x="45244" y="283369"/>
              </a:cubicBezTo>
              <a:lnTo>
                <a:pt x="45244" y="301466"/>
              </a:lnTo>
              <a:cubicBezTo>
                <a:pt x="22384" y="317659"/>
                <a:pt x="7144" y="339566"/>
                <a:pt x="7144" y="369094"/>
              </a:cubicBezTo>
              <a:lnTo>
                <a:pt x="7144" y="464344"/>
              </a:lnTo>
              <a:cubicBezTo>
                <a:pt x="7144" y="509111"/>
                <a:pt x="42386" y="541496"/>
                <a:pt x="110966" y="559594"/>
              </a:cubicBezTo>
              <a:cubicBezTo>
                <a:pt x="155734" y="571976"/>
                <a:pt x="212884" y="578644"/>
                <a:pt x="273844" y="578644"/>
              </a:cubicBezTo>
              <a:cubicBezTo>
                <a:pt x="273844" y="623411"/>
                <a:pt x="309086" y="655796"/>
                <a:pt x="377666" y="673894"/>
              </a:cubicBezTo>
              <a:cubicBezTo>
                <a:pt x="422434" y="686276"/>
                <a:pt x="479584" y="692944"/>
                <a:pt x="540544" y="692944"/>
              </a:cubicBezTo>
              <a:cubicBezTo>
                <a:pt x="620554" y="692944"/>
                <a:pt x="807244" y="681514"/>
                <a:pt x="807244" y="578644"/>
              </a:cubicBezTo>
              <a:lnTo>
                <a:pt x="807244" y="483394"/>
              </a:lnTo>
              <a:cubicBezTo>
                <a:pt x="808196" y="456724"/>
                <a:pt x="795814" y="433864"/>
                <a:pt x="770096" y="416719"/>
              </a:cubicBezTo>
              <a:close/>
            </a:path>
          </a:pathLst>
        </a:custGeom>
        <a:solidFill>
          <a:schemeClr val="bg1"/>
        </a:solidFill>
        <a:ln w="9525" cap="flat">
          <a:noFill/>
          <a:prstDash val="solid"/>
          <a:miter/>
        </a:ln>
      </xdr:spPr>
      <xdr:txBody>
        <a:bodyPr rtlCol="0" anchor="ctr"/>
        <a:lstStyle/>
        <a:p>
          <a:endParaRPr lang="en-US"/>
        </a:p>
      </xdr:txBody>
    </xdr:sp>
    <xdr:clientData/>
  </xdr:twoCellAnchor>
  <xdr:twoCellAnchor>
    <xdr:from>
      <xdr:col>7</xdr:col>
      <xdr:colOff>347644</xdr:colOff>
      <xdr:row>6</xdr:row>
      <xdr:rowOff>8519</xdr:rowOff>
    </xdr:from>
    <xdr:to>
      <xdr:col>8</xdr:col>
      <xdr:colOff>210484</xdr:colOff>
      <xdr:row>8</xdr:row>
      <xdr:rowOff>122819</xdr:rowOff>
    </xdr:to>
    <xdr:sp macro="" textlink="">
      <xdr:nvSpPr>
        <xdr:cNvPr id="46" name="Graphic 39" descr="Piggy Bank">
          <a:extLst>
            <a:ext uri="{FF2B5EF4-FFF2-40B4-BE49-F238E27FC236}">
              <a16:creationId xmlns:a16="http://schemas.microsoft.com/office/drawing/2014/main" id="{27A6DD99-C6E3-4C43-99E5-45A590B6852B}"/>
            </a:ext>
          </a:extLst>
        </xdr:cNvPr>
        <xdr:cNvSpPr/>
      </xdr:nvSpPr>
      <xdr:spPr>
        <a:xfrm>
          <a:off x="5148244" y="1037219"/>
          <a:ext cx="548640" cy="457200"/>
        </a:xfrm>
        <a:custGeom>
          <a:avLst/>
          <a:gdLst>
            <a:gd name="connsiteX0" fmla="*/ 731044 w 819150"/>
            <a:gd name="connsiteY0" fmla="*/ 312957 h 609600"/>
            <a:gd name="connsiteX1" fmla="*/ 719614 w 819150"/>
            <a:gd name="connsiteY1" fmla="*/ 307242 h 609600"/>
            <a:gd name="connsiteX2" fmla="*/ 711994 w 819150"/>
            <a:gd name="connsiteY2" fmla="*/ 285335 h 609600"/>
            <a:gd name="connsiteX3" fmla="*/ 728186 w 819150"/>
            <a:gd name="connsiteY3" fmla="*/ 257712 h 609600"/>
            <a:gd name="connsiteX4" fmla="*/ 729139 w 819150"/>
            <a:gd name="connsiteY4" fmla="*/ 256760 h 609600"/>
            <a:gd name="connsiteX5" fmla="*/ 750094 w 819150"/>
            <a:gd name="connsiteY5" fmla="*/ 284382 h 609600"/>
            <a:gd name="connsiteX6" fmla="*/ 731044 w 819150"/>
            <a:gd name="connsiteY6" fmla="*/ 312957 h 609600"/>
            <a:gd name="connsiteX7" fmla="*/ 471964 w 819150"/>
            <a:gd name="connsiteY7" fmla="*/ 125315 h 609600"/>
            <a:gd name="connsiteX8" fmla="*/ 454819 w 819150"/>
            <a:gd name="connsiteY8" fmla="*/ 136745 h 609600"/>
            <a:gd name="connsiteX9" fmla="*/ 447199 w 819150"/>
            <a:gd name="connsiteY9" fmla="*/ 134840 h 609600"/>
            <a:gd name="connsiteX10" fmla="*/ 351949 w 819150"/>
            <a:gd name="connsiteY10" fmla="*/ 112932 h 609600"/>
            <a:gd name="connsiteX11" fmla="*/ 297656 w 819150"/>
            <a:gd name="connsiteY11" fmla="*/ 120552 h 609600"/>
            <a:gd name="connsiteX12" fmla="*/ 273844 w 819150"/>
            <a:gd name="connsiteY12" fmla="*/ 107217 h 609600"/>
            <a:gd name="connsiteX13" fmla="*/ 287179 w 819150"/>
            <a:gd name="connsiteY13" fmla="*/ 83405 h 609600"/>
            <a:gd name="connsiteX14" fmla="*/ 350996 w 819150"/>
            <a:gd name="connsiteY14" fmla="*/ 74832 h 609600"/>
            <a:gd name="connsiteX15" fmla="*/ 461486 w 819150"/>
            <a:gd name="connsiteY15" fmla="*/ 99597 h 609600"/>
            <a:gd name="connsiteX16" fmla="*/ 471964 w 819150"/>
            <a:gd name="connsiteY16" fmla="*/ 125315 h 609600"/>
            <a:gd name="connsiteX17" fmla="*/ 800576 w 819150"/>
            <a:gd name="connsiteY17" fmla="*/ 198657 h 609600"/>
            <a:gd name="connsiteX18" fmla="*/ 723424 w 819150"/>
            <a:gd name="connsiteY18" fmla="*/ 214850 h 609600"/>
            <a:gd name="connsiteX19" fmla="*/ 637699 w 819150"/>
            <a:gd name="connsiteY19" fmla="*/ 220565 h 609600"/>
            <a:gd name="connsiteX20" fmla="*/ 350044 w 819150"/>
            <a:gd name="connsiteY20" fmla="*/ 36732 h 609600"/>
            <a:gd name="connsiteX21" fmla="*/ 230981 w 819150"/>
            <a:gd name="connsiteY21" fmla="*/ 63402 h 609600"/>
            <a:gd name="connsiteX22" fmla="*/ 113824 w 819150"/>
            <a:gd name="connsiteY22" fmla="*/ 8157 h 609600"/>
            <a:gd name="connsiteX23" fmla="*/ 100489 w 819150"/>
            <a:gd name="connsiteY23" fmla="*/ 19587 h 609600"/>
            <a:gd name="connsiteX24" fmla="*/ 138589 w 819150"/>
            <a:gd name="connsiteY24" fmla="*/ 127220 h 609600"/>
            <a:gd name="connsiteX25" fmla="*/ 83344 w 819150"/>
            <a:gd name="connsiteY25" fmla="*/ 209135 h 609600"/>
            <a:gd name="connsiteX26" fmla="*/ 70009 w 819150"/>
            <a:gd name="connsiteY26" fmla="*/ 220565 h 609600"/>
            <a:gd name="connsiteX27" fmla="*/ 35719 w 819150"/>
            <a:gd name="connsiteY27" fmla="*/ 229137 h 609600"/>
            <a:gd name="connsiteX28" fmla="*/ 7144 w 819150"/>
            <a:gd name="connsiteY28" fmla="*/ 266285 h 609600"/>
            <a:gd name="connsiteX29" fmla="*/ 7144 w 819150"/>
            <a:gd name="connsiteY29" fmla="*/ 340580 h 609600"/>
            <a:gd name="connsiteX30" fmla="*/ 35719 w 819150"/>
            <a:gd name="connsiteY30" fmla="*/ 377727 h 609600"/>
            <a:gd name="connsiteX31" fmla="*/ 70961 w 819150"/>
            <a:gd name="connsiteY31" fmla="*/ 386300 h 609600"/>
            <a:gd name="connsiteX32" fmla="*/ 84296 w 819150"/>
            <a:gd name="connsiteY32" fmla="*/ 397730 h 609600"/>
            <a:gd name="connsiteX33" fmla="*/ 155734 w 819150"/>
            <a:gd name="connsiteY33" fmla="*/ 495837 h 609600"/>
            <a:gd name="connsiteX34" fmla="*/ 162401 w 819150"/>
            <a:gd name="connsiteY34" fmla="*/ 507267 h 609600"/>
            <a:gd name="connsiteX35" fmla="*/ 176689 w 819150"/>
            <a:gd name="connsiteY35" fmla="*/ 593945 h 609600"/>
            <a:gd name="connsiteX36" fmla="*/ 195739 w 819150"/>
            <a:gd name="connsiteY36" fmla="*/ 610137 h 609600"/>
            <a:gd name="connsiteX37" fmla="*/ 258604 w 819150"/>
            <a:gd name="connsiteY37" fmla="*/ 610137 h 609600"/>
            <a:gd name="connsiteX38" fmla="*/ 277654 w 819150"/>
            <a:gd name="connsiteY38" fmla="*/ 593945 h 609600"/>
            <a:gd name="connsiteX39" fmla="*/ 282416 w 819150"/>
            <a:gd name="connsiteY39" fmla="*/ 563465 h 609600"/>
            <a:gd name="connsiteX40" fmla="*/ 350996 w 819150"/>
            <a:gd name="connsiteY40" fmla="*/ 572037 h 609600"/>
            <a:gd name="connsiteX41" fmla="*/ 428149 w 819150"/>
            <a:gd name="connsiteY41" fmla="*/ 561560 h 609600"/>
            <a:gd name="connsiteX42" fmla="*/ 433864 w 819150"/>
            <a:gd name="connsiteY42" fmla="*/ 593945 h 609600"/>
            <a:gd name="connsiteX43" fmla="*/ 452914 w 819150"/>
            <a:gd name="connsiteY43" fmla="*/ 610137 h 609600"/>
            <a:gd name="connsiteX44" fmla="*/ 515779 w 819150"/>
            <a:gd name="connsiteY44" fmla="*/ 610137 h 609600"/>
            <a:gd name="connsiteX45" fmla="*/ 534829 w 819150"/>
            <a:gd name="connsiteY45" fmla="*/ 593945 h 609600"/>
            <a:gd name="connsiteX46" fmla="*/ 549116 w 819150"/>
            <a:gd name="connsiteY46" fmla="*/ 507267 h 609600"/>
            <a:gd name="connsiteX47" fmla="*/ 555784 w 819150"/>
            <a:gd name="connsiteY47" fmla="*/ 495837 h 609600"/>
            <a:gd name="connsiteX48" fmla="*/ 654844 w 819150"/>
            <a:gd name="connsiteY48" fmla="*/ 303432 h 609600"/>
            <a:gd name="connsiteX49" fmla="*/ 649129 w 819150"/>
            <a:gd name="connsiteY49" fmla="*/ 256760 h 609600"/>
            <a:gd name="connsiteX50" fmla="*/ 684371 w 819150"/>
            <a:gd name="connsiteY50" fmla="*/ 250092 h 609600"/>
            <a:gd name="connsiteX51" fmla="*/ 673894 w 819150"/>
            <a:gd name="connsiteY51" fmla="*/ 284382 h 609600"/>
            <a:gd name="connsiteX52" fmla="*/ 692944 w 819150"/>
            <a:gd name="connsiteY52" fmla="*/ 334865 h 609600"/>
            <a:gd name="connsiteX53" fmla="*/ 731044 w 819150"/>
            <a:gd name="connsiteY53" fmla="*/ 352010 h 609600"/>
            <a:gd name="connsiteX54" fmla="*/ 788194 w 819150"/>
            <a:gd name="connsiteY54" fmla="*/ 285335 h 609600"/>
            <a:gd name="connsiteX55" fmla="*/ 768191 w 819150"/>
            <a:gd name="connsiteY55" fmla="*/ 238662 h 609600"/>
            <a:gd name="connsiteX56" fmla="*/ 794861 w 819150"/>
            <a:gd name="connsiteY56" fmla="*/ 236757 h 609600"/>
            <a:gd name="connsiteX57" fmla="*/ 816769 w 819150"/>
            <a:gd name="connsiteY57" fmla="*/ 220565 h 609600"/>
            <a:gd name="connsiteX58" fmla="*/ 800576 w 819150"/>
            <a:gd name="connsiteY58" fmla="*/ 198657 h 6096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Lst>
          <a:rect l="l" t="t" r="r" b="b"/>
          <a:pathLst>
            <a:path w="819150" h="609600">
              <a:moveTo>
                <a:pt x="731044" y="312957"/>
              </a:moveTo>
              <a:cubicBezTo>
                <a:pt x="726281" y="312957"/>
                <a:pt x="722471" y="310100"/>
                <a:pt x="719614" y="307242"/>
              </a:cubicBezTo>
              <a:cubicBezTo>
                <a:pt x="714851" y="302480"/>
                <a:pt x="711994" y="293907"/>
                <a:pt x="711994" y="285335"/>
              </a:cubicBezTo>
              <a:cubicBezTo>
                <a:pt x="711994" y="272952"/>
                <a:pt x="720566" y="263427"/>
                <a:pt x="728186" y="257712"/>
              </a:cubicBezTo>
              <a:lnTo>
                <a:pt x="729139" y="256760"/>
              </a:lnTo>
              <a:cubicBezTo>
                <a:pt x="747236" y="266285"/>
                <a:pt x="750094" y="275810"/>
                <a:pt x="750094" y="284382"/>
              </a:cubicBezTo>
              <a:cubicBezTo>
                <a:pt x="750094" y="299622"/>
                <a:pt x="741521" y="312957"/>
                <a:pt x="731044" y="312957"/>
              </a:cubicBezTo>
              <a:close/>
              <a:moveTo>
                <a:pt x="471964" y="125315"/>
              </a:moveTo>
              <a:cubicBezTo>
                <a:pt x="469106" y="131982"/>
                <a:pt x="461486" y="136745"/>
                <a:pt x="454819" y="136745"/>
              </a:cubicBezTo>
              <a:cubicBezTo>
                <a:pt x="451961" y="136745"/>
                <a:pt x="449104" y="135792"/>
                <a:pt x="447199" y="134840"/>
              </a:cubicBezTo>
              <a:cubicBezTo>
                <a:pt x="416719" y="120552"/>
                <a:pt x="383381" y="112932"/>
                <a:pt x="351949" y="112932"/>
              </a:cubicBezTo>
              <a:cubicBezTo>
                <a:pt x="333851" y="112932"/>
                <a:pt x="315754" y="115790"/>
                <a:pt x="297656" y="120552"/>
              </a:cubicBezTo>
              <a:cubicBezTo>
                <a:pt x="287179" y="123410"/>
                <a:pt x="276701" y="117695"/>
                <a:pt x="273844" y="107217"/>
              </a:cubicBezTo>
              <a:cubicBezTo>
                <a:pt x="270986" y="96740"/>
                <a:pt x="276701" y="86262"/>
                <a:pt x="287179" y="83405"/>
              </a:cubicBezTo>
              <a:cubicBezTo>
                <a:pt x="308134" y="77690"/>
                <a:pt x="330041" y="74832"/>
                <a:pt x="350996" y="74832"/>
              </a:cubicBezTo>
              <a:cubicBezTo>
                <a:pt x="387191" y="74832"/>
                <a:pt x="426244" y="83405"/>
                <a:pt x="461486" y="99597"/>
              </a:cubicBezTo>
              <a:cubicBezTo>
                <a:pt x="471964" y="104360"/>
                <a:pt x="476726" y="115790"/>
                <a:pt x="471964" y="125315"/>
              </a:cubicBezTo>
              <a:close/>
              <a:moveTo>
                <a:pt x="800576" y="198657"/>
              </a:moveTo>
              <a:cubicBezTo>
                <a:pt x="776764" y="194847"/>
                <a:pt x="747236" y="201515"/>
                <a:pt x="723424" y="214850"/>
              </a:cubicBezTo>
              <a:cubicBezTo>
                <a:pt x="701516" y="210087"/>
                <a:pt x="668179" y="210087"/>
                <a:pt x="637699" y="220565"/>
              </a:cubicBezTo>
              <a:cubicBezTo>
                <a:pt x="592931" y="113885"/>
                <a:pt x="468154" y="36732"/>
                <a:pt x="350044" y="36732"/>
              </a:cubicBezTo>
              <a:cubicBezTo>
                <a:pt x="309086" y="36732"/>
                <a:pt x="268129" y="46257"/>
                <a:pt x="230981" y="63402"/>
              </a:cubicBezTo>
              <a:lnTo>
                <a:pt x="113824" y="8157"/>
              </a:lnTo>
              <a:cubicBezTo>
                <a:pt x="106204" y="4347"/>
                <a:pt x="97631" y="11967"/>
                <a:pt x="100489" y="19587"/>
              </a:cubicBezTo>
              <a:lnTo>
                <a:pt x="138589" y="127220"/>
              </a:lnTo>
              <a:cubicBezTo>
                <a:pt x="115729" y="151032"/>
                <a:pt x="96679" y="178655"/>
                <a:pt x="83344" y="209135"/>
              </a:cubicBezTo>
              <a:cubicBezTo>
                <a:pt x="81439" y="214850"/>
                <a:pt x="76676" y="218660"/>
                <a:pt x="70009" y="220565"/>
              </a:cubicBezTo>
              <a:lnTo>
                <a:pt x="35719" y="229137"/>
              </a:lnTo>
              <a:cubicBezTo>
                <a:pt x="18574" y="232947"/>
                <a:pt x="7144" y="248187"/>
                <a:pt x="7144" y="266285"/>
              </a:cubicBezTo>
              <a:lnTo>
                <a:pt x="7144" y="340580"/>
              </a:lnTo>
              <a:cubicBezTo>
                <a:pt x="7144" y="357725"/>
                <a:pt x="18574" y="372965"/>
                <a:pt x="35719" y="377727"/>
              </a:cubicBezTo>
              <a:lnTo>
                <a:pt x="70961" y="386300"/>
              </a:lnTo>
              <a:cubicBezTo>
                <a:pt x="76676" y="388205"/>
                <a:pt x="81439" y="392015"/>
                <a:pt x="84296" y="397730"/>
              </a:cubicBezTo>
              <a:cubicBezTo>
                <a:pt x="100489" y="434877"/>
                <a:pt x="125254" y="468215"/>
                <a:pt x="155734" y="495837"/>
              </a:cubicBezTo>
              <a:cubicBezTo>
                <a:pt x="158591" y="498695"/>
                <a:pt x="161449" y="502505"/>
                <a:pt x="162401" y="507267"/>
              </a:cubicBezTo>
              <a:lnTo>
                <a:pt x="176689" y="593945"/>
              </a:lnTo>
              <a:cubicBezTo>
                <a:pt x="178594" y="603470"/>
                <a:pt x="186214" y="610137"/>
                <a:pt x="195739" y="610137"/>
              </a:cubicBezTo>
              <a:lnTo>
                <a:pt x="258604" y="610137"/>
              </a:lnTo>
              <a:cubicBezTo>
                <a:pt x="268129" y="610137"/>
                <a:pt x="275749" y="603470"/>
                <a:pt x="277654" y="593945"/>
              </a:cubicBezTo>
              <a:lnTo>
                <a:pt x="282416" y="563465"/>
              </a:lnTo>
              <a:cubicBezTo>
                <a:pt x="304324" y="569180"/>
                <a:pt x="327184" y="572037"/>
                <a:pt x="350996" y="572037"/>
              </a:cubicBezTo>
              <a:cubicBezTo>
                <a:pt x="376714" y="572037"/>
                <a:pt x="403384" y="568227"/>
                <a:pt x="428149" y="561560"/>
              </a:cubicBezTo>
              <a:lnTo>
                <a:pt x="433864" y="593945"/>
              </a:lnTo>
              <a:cubicBezTo>
                <a:pt x="435769" y="603470"/>
                <a:pt x="443389" y="610137"/>
                <a:pt x="452914" y="610137"/>
              </a:cubicBezTo>
              <a:lnTo>
                <a:pt x="515779" y="610137"/>
              </a:lnTo>
              <a:cubicBezTo>
                <a:pt x="525304" y="610137"/>
                <a:pt x="532924" y="603470"/>
                <a:pt x="534829" y="593945"/>
              </a:cubicBezTo>
              <a:lnTo>
                <a:pt x="549116" y="507267"/>
              </a:lnTo>
              <a:cubicBezTo>
                <a:pt x="550069" y="502505"/>
                <a:pt x="551974" y="498695"/>
                <a:pt x="555784" y="495837"/>
              </a:cubicBezTo>
              <a:cubicBezTo>
                <a:pt x="613886" y="445355"/>
                <a:pt x="654844" y="378680"/>
                <a:pt x="654844" y="303432"/>
              </a:cubicBezTo>
              <a:cubicBezTo>
                <a:pt x="654844" y="287240"/>
                <a:pt x="652939" y="272000"/>
                <a:pt x="649129" y="256760"/>
              </a:cubicBezTo>
              <a:cubicBezTo>
                <a:pt x="660559" y="252950"/>
                <a:pt x="672941" y="250092"/>
                <a:pt x="684371" y="250092"/>
              </a:cubicBezTo>
              <a:cubicBezTo>
                <a:pt x="677704" y="260570"/>
                <a:pt x="673894" y="272000"/>
                <a:pt x="673894" y="284382"/>
              </a:cubicBezTo>
              <a:cubicBezTo>
                <a:pt x="672941" y="303432"/>
                <a:pt x="680561" y="321530"/>
                <a:pt x="692944" y="334865"/>
              </a:cubicBezTo>
              <a:cubicBezTo>
                <a:pt x="703421" y="345342"/>
                <a:pt x="716756" y="352010"/>
                <a:pt x="731044" y="352010"/>
              </a:cubicBezTo>
              <a:cubicBezTo>
                <a:pt x="762476" y="352010"/>
                <a:pt x="788194" y="322482"/>
                <a:pt x="788194" y="285335"/>
              </a:cubicBezTo>
              <a:cubicBezTo>
                <a:pt x="788194" y="267237"/>
                <a:pt x="781526" y="251045"/>
                <a:pt x="768191" y="238662"/>
              </a:cubicBezTo>
              <a:cubicBezTo>
                <a:pt x="777716" y="236757"/>
                <a:pt x="786289" y="235805"/>
                <a:pt x="794861" y="236757"/>
              </a:cubicBezTo>
              <a:cubicBezTo>
                <a:pt x="805339" y="238662"/>
                <a:pt x="814864" y="231042"/>
                <a:pt x="816769" y="220565"/>
              </a:cubicBezTo>
              <a:cubicBezTo>
                <a:pt x="817721" y="210087"/>
                <a:pt x="811054" y="200562"/>
                <a:pt x="800576" y="198657"/>
              </a:cubicBezTo>
              <a:close/>
            </a:path>
          </a:pathLst>
        </a:custGeom>
        <a:solidFill>
          <a:schemeClr val="bg1"/>
        </a:solidFill>
        <a:ln w="9525" cap="flat">
          <a:noFill/>
          <a:prstDash val="solid"/>
          <a:miter/>
        </a:ln>
      </xdr:spPr>
      <xdr:txBody>
        <a:bodyPr rtlCol="0" anchor="ctr"/>
        <a:lstStyle/>
        <a:p>
          <a:endParaRPr lang="en-US"/>
        </a:p>
      </xdr:txBody>
    </xdr:sp>
    <xdr:clientData/>
  </xdr:twoCellAnchor>
  <xdr:twoCellAnchor>
    <xdr:from>
      <xdr:col>11</xdr:col>
      <xdr:colOff>116643</xdr:colOff>
      <xdr:row>5</xdr:row>
      <xdr:rowOff>146935</xdr:rowOff>
    </xdr:from>
    <xdr:to>
      <xdr:col>11</xdr:col>
      <xdr:colOff>557212</xdr:colOff>
      <xdr:row>8</xdr:row>
      <xdr:rowOff>47625</xdr:rowOff>
    </xdr:to>
    <xdr:grpSp>
      <xdr:nvGrpSpPr>
        <xdr:cNvPr id="62" name="Group 61">
          <a:extLst>
            <a:ext uri="{FF2B5EF4-FFF2-40B4-BE49-F238E27FC236}">
              <a16:creationId xmlns:a16="http://schemas.microsoft.com/office/drawing/2014/main" id="{5AB1ACF2-B2B3-4B42-B0E5-FBA2D63F50A1}"/>
            </a:ext>
          </a:extLst>
        </xdr:cNvPr>
        <xdr:cNvGrpSpPr/>
      </xdr:nvGrpSpPr>
      <xdr:grpSpPr>
        <a:xfrm>
          <a:off x="7641394" y="1012844"/>
          <a:ext cx="440569" cy="420236"/>
          <a:chOff x="7403269" y="2694871"/>
          <a:chExt cx="847725" cy="646066"/>
        </a:xfrm>
        <a:solidFill>
          <a:schemeClr val="bg1"/>
        </a:solidFill>
      </xdr:grpSpPr>
      <xdr:sp macro="" textlink="">
        <xdr:nvSpPr>
          <xdr:cNvPr id="48" name="Freeform: Shape 47">
            <a:extLst>
              <a:ext uri="{FF2B5EF4-FFF2-40B4-BE49-F238E27FC236}">
                <a16:creationId xmlns:a16="http://schemas.microsoft.com/office/drawing/2014/main" id="{20BC76F6-DC51-45D1-AB5A-0ECE74D91F5B}"/>
              </a:ext>
            </a:extLst>
          </xdr:cNvPr>
          <xdr:cNvSpPr/>
        </xdr:nvSpPr>
        <xdr:spPr>
          <a:xfrm>
            <a:off x="7403269" y="2938224"/>
            <a:ext cx="847725" cy="402713"/>
          </a:xfrm>
          <a:custGeom>
            <a:avLst/>
            <a:gdLst>
              <a:gd name="connsiteX0" fmla="*/ 788194 w 847725"/>
              <a:gd name="connsiteY0" fmla="*/ 302419 h 390525"/>
              <a:gd name="connsiteX1" fmla="*/ 759619 w 847725"/>
              <a:gd name="connsiteY1" fmla="*/ 330994 h 390525"/>
              <a:gd name="connsiteX2" fmla="*/ 102394 w 847725"/>
              <a:gd name="connsiteY2" fmla="*/ 330994 h 390525"/>
              <a:gd name="connsiteX3" fmla="*/ 64294 w 847725"/>
              <a:gd name="connsiteY3" fmla="*/ 292894 h 390525"/>
              <a:gd name="connsiteX4" fmla="*/ 64294 w 847725"/>
              <a:gd name="connsiteY4" fmla="*/ 102394 h 390525"/>
              <a:gd name="connsiteX5" fmla="*/ 102394 w 847725"/>
              <a:gd name="connsiteY5" fmla="*/ 64294 h 390525"/>
              <a:gd name="connsiteX6" fmla="*/ 759619 w 847725"/>
              <a:gd name="connsiteY6" fmla="*/ 64294 h 390525"/>
              <a:gd name="connsiteX7" fmla="*/ 788194 w 847725"/>
              <a:gd name="connsiteY7" fmla="*/ 92869 h 390525"/>
              <a:gd name="connsiteX8" fmla="*/ 788194 w 847725"/>
              <a:gd name="connsiteY8" fmla="*/ 302419 h 390525"/>
              <a:gd name="connsiteX9" fmla="*/ 7144 w 847725"/>
              <a:gd name="connsiteY9" fmla="*/ 7144 h 390525"/>
              <a:gd name="connsiteX10" fmla="*/ 7144 w 847725"/>
              <a:gd name="connsiteY10" fmla="*/ 388144 h 390525"/>
              <a:gd name="connsiteX11" fmla="*/ 845344 w 847725"/>
              <a:gd name="connsiteY11" fmla="*/ 388144 h 390525"/>
              <a:gd name="connsiteX12" fmla="*/ 845344 w 847725"/>
              <a:gd name="connsiteY12" fmla="*/ 7144 h 390525"/>
              <a:gd name="connsiteX13" fmla="*/ 7144 w 847725"/>
              <a:gd name="connsiteY13" fmla="*/ 7144 h 3905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847725" h="390525">
                <a:moveTo>
                  <a:pt x="788194" y="302419"/>
                </a:moveTo>
                <a:lnTo>
                  <a:pt x="759619" y="330994"/>
                </a:lnTo>
                <a:lnTo>
                  <a:pt x="102394" y="330994"/>
                </a:lnTo>
                <a:lnTo>
                  <a:pt x="64294" y="292894"/>
                </a:lnTo>
                <a:lnTo>
                  <a:pt x="64294" y="102394"/>
                </a:lnTo>
                <a:lnTo>
                  <a:pt x="102394" y="64294"/>
                </a:lnTo>
                <a:lnTo>
                  <a:pt x="759619" y="64294"/>
                </a:lnTo>
                <a:lnTo>
                  <a:pt x="788194" y="92869"/>
                </a:lnTo>
                <a:lnTo>
                  <a:pt x="788194" y="302419"/>
                </a:lnTo>
                <a:close/>
                <a:moveTo>
                  <a:pt x="7144" y="7144"/>
                </a:moveTo>
                <a:lnTo>
                  <a:pt x="7144" y="388144"/>
                </a:lnTo>
                <a:lnTo>
                  <a:pt x="845344" y="388144"/>
                </a:lnTo>
                <a:lnTo>
                  <a:pt x="845344" y="7144"/>
                </a:lnTo>
                <a:lnTo>
                  <a:pt x="7144" y="7144"/>
                </a:lnTo>
                <a:close/>
              </a:path>
            </a:pathLst>
          </a:custGeom>
          <a:grpFill/>
          <a:ln w="9525" cap="flat">
            <a:noFill/>
            <a:prstDash val="solid"/>
            <a:miter/>
          </a:ln>
        </xdr:spPr>
        <xdr:txBody>
          <a:bodyPr rtlCol="0" anchor="ctr"/>
          <a:lstStyle/>
          <a:p>
            <a:endParaRPr lang="en-US"/>
          </a:p>
        </xdr:txBody>
      </xdr:sp>
      <xdr:sp macro="" textlink="">
        <xdr:nvSpPr>
          <xdr:cNvPr id="52" name="Freeform: Shape 51">
            <a:extLst>
              <a:ext uri="{FF2B5EF4-FFF2-40B4-BE49-F238E27FC236}">
                <a16:creationId xmlns:a16="http://schemas.microsoft.com/office/drawing/2014/main" id="{0C0FBCF8-555C-4529-9F05-9236D8A15FAF}"/>
              </a:ext>
            </a:extLst>
          </xdr:cNvPr>
          <xdr:cNvSpPr/>
        </xdr:nvSpPr>
        <xdr:spPr>
          <a:xfrm>
            <a:off x="7616629" y="2694871"/>
            <a:ext cx="561975" cy="225912"/>
          </a:xfrm>
          <a:custGeom>
            <a:avLst/>
            <a:gdLst>
              <a:gd name="connsiteX0" fmla="*/ 488156 w 561975"/>
              <a:gd name="connsiteY0" fmla="*/ 82391 h 219075"/>
              <a:gd name="connsiteX1" fmla="*/ 502444 w 561975"/>
              <a:gd name="connsiteY1" fmla="*/ 118586 h 219075"/>
              <a:gd name="connsiteX2" fmla="*/ 559594 w 561975"/>
              <a:gd name="connsiteY2" fmla="*/ 107156 h 219075"/>
              <a:gd name="connsiteX3" fmla="*/ 519589 w 561975"/>
              <a:gd name="connsiteY3" fmla="*/ 7144 h 219075"/>
              <a:gd name="connsiteX4" fmla="*/ 7144 w 561975"/>
              <a:gd name="connsiteY4" fmla="*/ 216694 h 219075"/>
              <a:gd name="connsiteX5" fmla="*/ 300514 w 561975"/>
              <a:gd name="connsiteY5" fmla="*/ 158591 h 219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61975" h="219075">
                <a:moveTo>
                  <a:pt x="488156" y="82391"/>
                </a:moveTo>
                <a:lnTo>
                  <a:pt x="502444" y="118586"/>
                </a:lnTo>
                <a:lnTo>
                  <a:pt x="559594" y="107156"/>
                </a:lnTo>
                <a:lnTo>
                  <a:pt x="519589" y="7144"/>
                </a:lnTo>
                <a:lnTo>
                  <a:pt x="7144" y="216694"/>
                </a:lnTo>
                <a:lnTo>
                  <a:pt x="300514" y="158591"/>
                </a:lnTo>
                <a:close/>
              </a:path>
            </a:pathLst>
          </a:custGeom>
          <a:grpFill/>
          <a:ln w="9525" cap="flat">
            <a:noFill/>
            <a:prstDash val="solid"/>
            <a:miter/>
          </a:ln>
        </xdr:spPr>
        <xdr:txBody>
          <a:bodyPr rtlCol="0" anchor="ctr"/>
          <a:lstStyle/>
          <a:p>
            <a:endParaRPr lang="en-US"/>
          </a:p>
        </xdr:txBody>
      </xdr:sp>
      <xdr:grpSp>
        <xdr:nvGrpSpPr>
          <xdr:cNvPr id="55" name="Group 54">
            <a:extLst>
              <a:ext uri="{FF2B5EF4-FFF2-40B4-BE49-F238E27FC236}">
                <a16:creationId xmlns:a16="http://schemas.microsoft.com/office/drawing/2014/main" id="{614FD9CB-1F85-421A-995B-0FFE2AABD403}"/>
              </a:ext>
            </a:extLst>
          </xdr:cNvPr>
          <xdr:cNvGrpSpPr/>
        </xdr:nvGrpSpPr>
        <xdr:grpSpPr>
          <a:xfrm>
            <a:off x="7555669" y="2798748"/>
            <a:ext cx="609600" cy="420155"/>
            <a:chOff x="7660444" y="2822561"/>
            <a:chExt cx="609600" cy="420155"/>
          </a:xfrm>
          <a:grpFill/>
        </xdr:grpSpPr>
        <xdr:sp macro="" textlink="">
          <xdr:nvSpPr>
            <xdr:cNvPr id="49" name="Freeform: Shape 48">
              <a:extLst>
                <a:ext uri="{FF2B5EF4-FFF2-40B4-BE49-F238E27FC236}">
                  <a16:creationId xmlns:a16="http://schemas.microsoft.com/office/drawing/2014/main" id="{DED0A364-53E3-434B-BAD3-EC0063711BA1}"/>
                </a:ext>
              </a:extLst>
            </xdr:cNvPr>
            <xdr:cNvSpPr/>
          </xdr:nvSpPr>
          <xdr:spPr>
            <a:xfrm>
              <a:off x="7879518" y="3036448"/>
              <a:ext cx="161925" cy="206268"/>
            </a:xfrm>
            <a:custGeom>
              <a:avLst/>
              <a:gdLst>
                <a:gd name="connsiteX0" fmla="*/ 159544 w 161925"/>
                <a:gd name="connsiteY0" fmla="*/ 102394 h 200025"/>
                <a:gd name="connsiteX1" fmla="*/ 83344 w 161925"/>
                <a:gd name="connsiteY1" fmla="*/ 197644 h 200025"/>
                <a:gd name="connsiteX2" fmla="*/ 7144 w 161925"/>
                <a:gd name="connsiteY2" fmla="*/ 102394 h 200025"/>
                <a:gd name="connsiteX3" fmla="*/ 83344 w 161925"/>
                <a:gd name="connsiteY3" fmla="*/ 7144 h 200025"/>
                <a:gd name="connsiteX4" fmla="*/ 159544 w 161925"/>
                <a:gd name="connsiteY4" fmla="*/ 102394 h 20002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61925" h="200025">
                  <a:moveTo>
                    <a:pt x="159544" y="102394"/>
                  </a:moveTo>
                  <a:cubicBezTo>
                    <a:pt x="159544" y="154999"/>
                    <a:pt x="125428" y="197644"/>
                    <a:pt x="83344" y="197644"/>
                  </a:cubicBezTo>
                  <a:cubicBezTo>
                    <a:pt x="41260" y="197644"/>
                    <a:pt x="7144" y="154999"/>
                    <a:pt x="7144" y="102394"/>
                  </a:cubicBezTo>
                  <a:cubicBezTo>
                    <a:pt x="7144" y="49789"/>
                    <a:pt x="41260" y="7144"/>
                    <a:pt x="83344" y="7144"/>
                  </a:cubicBezTo>
                  <a:cubicBezTo>
                    <a:pt x="125428" y="7144"/>
                    <a:pt x="159544" y="49789"/>
                    <a:pt x="159544" y="102394"/>
                  </a:cubicBezTo>
                  <a:close/>
                </a:path>
              </a:pathLst>
            </a:custGeom>
            <a:grpFill/>
            <a:ln w="9525" cap="flat">
              <a:noFill/>
              <a:prstDash val="solid"/>
              <a:miter/>
            </a:ln>
          </xdr:spPr>
          <xdr:txBody>
            <a:bodyPr rtlCol="0" anchor="ctr"/>
            <a:lstStyle/>
            <a:p>
              <a:endParaRPr lang="en-US"/>
            </a:p>
          </xdr:txBody>
        </xdr:sp>
        <xdr:sp macro="" textlink="">
          <xdr:nvSpPr>
            <xdr:cNvPr id="50" name="Freeform: Shape 49">
              <a:extLst>
                <a:ext uri="{FF2B5EF4-FFF2-40B4-BE49-F238E27FC236}">
                  <a16:creationId xmlns:a16="http://schemas.microsoft.com/office/drawing/2014/main" id="{379A3496-CA1A-4AFF-B4E9-4B01EA013E49}"/>
                </a:ext>
              </a:extLst>
            </xdr:cNvPr>
            <xdr:cNvSpPr/>
          </xdr:nvSpPr>
          <xdr:spPr>
            <a:xfrm>
              <a:off x="7660444" y="3129015"/>
              <a:ext cx="66675" cy="68756"/>
            </a:xfrm>
            <a:custGeom>
              <a:avLst/>
              <a:gdLst>
                <a:gd name="connsiteX0" fmla="*/ 64294 w 66675"/>
                <a:gd name="connsiteY0" fmla="*/ 35719 h 66675"/>
                <a:gd name="connsiteX1" fmla="*/ 35719 w 66675"/>
                <a:gd name="connsiteY1" fmla="*/ 64294 h 66675"/>
                <a:gd name="connsiteX2" fmla="*/ 7144 w 66675"/>
                <a:gd name="connsiteY2" fmla="*/ 35719 h 66675"/>
                <a:gd name="connsiteX3" fmla="*/ 35719 w 66675"/>
                <a:gd name="connsiteY3" fmla="*/ 7144 h 66675"/>
                <a:gd name="connsiteX4" fmla="*/ 64294 w 66675"/>
                <a:gd name="connsiteY4" fmla="*/ 35719 h 666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6675" h="66675">
                  <a:moveTo>
                    <a:pt x="64294" y="35719"/>
                  </a:moveTo>
                  <a:cubicBezTo>
                    <a:pt x="64294" y="51500"/>
                    <a:pt x="51500" y="64294"/>
                    <a:pt x="35719" y="64294"/>
                  </a:cubicBezTo>
                  <a:cubicBezTo>
                    <a:pt x="19937" y="64294"/>
                    <a:pt x="7144" y="51500"/>
                    <a:pt x="7144" y="35719"/>
                  </a:cubicBezTo>
                  <a:cubicBezTo>
                    <a:pt x="7144" y="19937"/>
                    <a:pt x="19937" y="7144"/>
                    <a:pt x="35719" y="7144"/>
                  </a:cubicBezTo>
                  <a:cubicBezTo>
                    <a:pt x="51500" y="7144"/>
                    <a:pt x="64294" y="19937"/>
                    <a:pt x="64294" y="35719"/>
                  </a:cubicBezTo>
                  <a:close/>
                </a:path>
              </a:pathLst>
            </a:custGeom>
            <a:grpFill/>
            <a:ln w="9525" cap="flat">
              <a:noFill/>
              <a:prstDash val="solid"/>
              <a:miter/>
            </a:ln>
          </xdr:spPr>
          <xdr:txBody>
            <a:bodyPr rtlCol="0" anchor="ctr"/>
            <a:lstStyle/>
            <a:p>
              <a:endParaRPr lang="en-US"/>
            </a:p>
          </xdr:txBody>
        </xdr:sp>
        <xdr:sp macro="" textlink="">
          <xdr:nvSpPr>
            <xdr:cNvPr id="51" name="Freeform: Shape 50">
              <a:extLst>
                <a:ext uri="{FF2B5EF4-FFF2-40B4-BE49-F238E27FC236}">
                  <a16:creationId xmlns:a16="http://schemas.microsoft.com/office/drawing/2014/main" id="{94004054-9CEB-4FFE-9D4A-D6769068D6A4}"/>
                </a:ext>
              </a:extLst>
            </xdr:cNvPr>
            <xdr:cNvSpPr/>
          </xdr:nvSpPr>
          <xdr:spPr>
            <a:xfrm>
              <a:off x="8136694" y="3129015"/>
              <a:ext cx="66675" cy="68756"/>
            </a:xfrm>
            <a:custGeom>
              <a:avLst/>
              <a:gdLst>
                <a:gd name="connsiteX0" fmla="*/ 64294 w 66675"/>
                <a:gd name="connsiteY0" fmla="*/ 35719 h 66675"/>
                <a:gd name="connsiteX1" fmla="*/ 35719 w 66675"/>
                <a:gd name="connsiteY1" fmla="*/ 64294 h 66675"/>
                <a:gd name="connsiteX2" fmla="*/ 7144 w 66675"/>
                <a:gd name="connsiteY2" fmla="*/ 35719 h 66675"/>
                <a:gd name="connsiteX3" fmla="*/ 35719 w 66675"/>
                <a:gd name="connsiteY3" fmla="*/ 7144 h 66675"/>
                <a:gd name="connsiteX4" fmla="*/ 64294 w 66675"/>
                <a:gd name="connsiteY4" fmla="*/ 35719 h 666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6675" h="66675">
                  <a:moveTo>
                    <a:pt x="64294" y="35719"/>
                  </a:moveTo>
                  <a:cubicBezTo>
                    <a:pt x="64294" y="51500"/>
                    <a:pt x="51500" y="64294"/>
                    <a:pt x="35719" y="64294"/>
                  </a:cubicBezTo>
                  <a:cubicBezTo>
                    <a:pt x="19937" y="64294"/>
                    <a:pt x="7144" y="51500"/>
                    <a:pt x="7144" y="35719"/>
                  </a:cubicBezTo>
                  <a:cubicBezTo>
                    <a:pt x="7144" y="19937"/>
                    <a:pt x="19937" y="7144"/>
                    <a:pt x="35719" y="7144"/>
                  </a:cubicBezTo>
                  <a:cubicBezTo>
                    <a:pt x="51500" y="7144"/>
                    <a:pt x="64294" y="19937"/>
                    <a:pt x="64294" y="35719"/>
                  </a:cubicBezTo>
                  <a:close/>
                </a:path>
              </a:pathLst>
            </a:custGeom>
            <a:grpFill/>
            <a:ln w="9525" cap="flat">
              <a:noFill/>
              <a:prstDash val="solid"/>
              <a:miter/>
            </a:ln>
          </xdr:spPr>
          <xdr:txBody>
            <a:bodyPr rtlCol="0" anchor="ctr"/>
            <a:lstStyle/>
            <a:p>
              <a:endParaRPr lang="en-US"/>
            </a:p>
          </xdr:txBody>
        </xdr:sp>
        <xdr:sp macro="" textlink="">
          <xdr:nvSpPr>
            <xdr:cNvPr id="53" name="Freeform: Shape 52">
              <a:extLst>
                <a:ext uri="{FF2B5EF4-FFF2-40B4-BE49-F238E27FC236}">
                  <a16:creationId xmlns:a16="http://schemas.microsoft.com/office/drawing/2014/main" id="{644BDE63-AE52-4DBC-8124-7575F71CE85F}"/>
                </a:ext>
              </a:extLst>
            </xdr:cNvPr>
            <xdr:cNvSpPr/>
          </xdr:nvSpPr>
          <xdr:spPr>
            <a:xfrm>
              <a:off x="7755694" y="2822561"/>
              <a:ext cx="514350" cy="91440"/>
            </a:xfrm>
            <a:custGeom>
              <a:avLst/>
              <a:gdLst>
                <a:gd name="connsiteX0" fmla="*/ 299561 w 514350"/>
                <a:gd name="connsiteY0" fmla="*/ 104299 h 104775"/>
                <a:gd name="connsiteX1" fmla="*/ 450056 w 514350"/>
                <a:gd name="connsiteY1" fmla="*/ 74771 h 104775"/>
                <a:gd name="connsiteX2" fmla="*/ 456724 w 514350"/>
                <a:gd name="connsiteY2" fmla="*/ 104299 h 104775"/>
                <a:gd name="connsiteX3" fmla="*/ 514826 w 514350"/>
                <a:gd name="connsiteY3" fmla="*/ 104299 h 104775"/>
                <a:gd name="connsiteX4" fmla="*/ 495776 w 514350"/>
                <a:gd name="connsiteY4" fmla="*/ 7144 h 104775"/>
                <a:gd name="connsiteX5" fmla="*/ 7144 w 514350"/>
                <a:gd name="connsiteY5" fmla="*/ 104299 h 1047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14350" h="104775">
                  <a:moveTo>
                    <a:pt x="299561" y="104299"/>
                  </a:moveTo>
                  <a:lnTo>
                    <a:pt x="450056" y="74771"/>
                  </a:lnTo>
                  <a:lnTo>
                    <a:pt x="456724" y="104299"/>
                  </a:lnTo>
                  <a:lnTo>
                    <a:pt x="514826" y="104299"/>
                  </a:lnTo>
                  <a:lnTo>
                    <a:pt x="495776" y="7144"/>
                  </a:lnTo>
                  <a:lnTo>
                    <a:pt x="7144" y="104299"/>
                  </a:lnTo>
                  <a:close/>
                </a:path>
              </a:pathLst>
            </a:custGeom>
            <a:grpFill/>
            <a:ln w="9525" cap="flat">
              <a:noFill/>
              <a:prstDash val="solid"/>
              <a:miter/>
            </a:ln>
          </xdr:spPr>
          <xdr:txBody>
            <a:bodyPr rtlCol="0" anchor="ctr"/>
            <a:lstStyle/>
            <a:p>
              <a:endParaRPr lang="en-US"/>
            </a:p>
          </xdr:txBody>
        </xdr:sp>
      </xdr:grpSp>
    </xdr:grpSp>
    <xdr:clientData/>
  </xdr:twoCellAnchor>
  <xdr:twoCellAnchor>
    <xdr:from>
      <xdr:col>0</xdr:col>
      <xdr:colOff>257119</xdr:colOff>
      <xdr:row>6</xdr:row>
      <xdr:rowOff>10094</xdr:rowOff>
    </xdr:from>
    <xdr:to>
      <xdr:col>0</xdr:col>
      <xdr:colOff>566738</xdr:colOff>
      <xdr:row>9</xdr:row>
      <xdr:rowOff>0</xdr:rowOff>
    </xdr:to>
    <xdr:sp macro="" textlink="">
      <xdr:nvSpPr>
        <xdr:cNvPr id="54" name="Graphic 43" descr="Rupee">
          <a:extLst>
            <a:ext uri="{FF2B5EF4-FFF2-40B4-BE49-F238E27FC236}">
              <a16:creationId xmlns:a16="http://schemas.microsoft.com/office/drawing/2014/main" id="{80E4F294-F23C-4F94-A402-2FD887F75284}"/>
            </a:ext>
          </a:extLst>
        </xdr:cNvPr>
        <xdr:cNvSpPr/>
      </xdr:nvSpPr>
      <xdr:spPr>
        <a:xfrm>
          <a:off x="257119" y="1038794"/>
          <a:ext cx="309619" cy="504256"/>
        </a:xfrm>
        <a:custGeom>
          <a:avLst/>
          <a:gdLst>
            <a:gd name="connsiteX0" fmla="*/ 540544 w 542925"/>
            <a:gd name="connsiteY0" fmla="*/ 7144 h 742950"/>
            <a:gd name="connsiteX1" fmla="*/ 7144 w 542925"/>
            <a:gd name="connsiteY1" fmla="*/ 7144 h 742950"/>
            <a:gd name="connsiteX2" fmla="*/ 7144 w 542925"/>
            <a:gd name="connsiteY2" fmla="*/ 64294 h 742950"/>
            <a:gd name="connsiteX3" fmla="*/ 178594 w 542925"/>
            <a:gd name="connsiteY3" fmla="*/ 64294 h 742950"/>
            <a:gd name="connsiteX4" fmla="*/ 308896 w 542925"/>
            <a:gd name="connsiteY4" fmla="*/ 178022 h 742950"/>
            <a:gd name="connsiteX5" fmla="*/ 7144 w 542925"/>
            <a:gd name="connsiteY5" fmla="*/ 178022 h 742950"/>
            <a:gd name="connsiteX6" fmla="*/ 7144 w 542925"/>
            <a:gd name="connsiteY6" fmla="*/ 236315 h 742950"/>
            <a:gd name="connsiteX7" fmla="*/ 308896 w 542925"/>
            <a:gd name="connsiteY7" fmla="*/ 236315 h 742950"/>
            <a:gd name="connsiteX8" fmla="*/ 173831 w 542925"/>
            <a:gd name="connsiteY8" fmla="*/ 350044 h 742950"/>
            <a:gd name="connsiteX9" fmla="*/ 7144 w 542925"/>
            <a:gd name="connsiteY9" fmla="*/ 350044 h 742950"/>
            <a:gd name="connsiteX10" fmla="*/ 7144 w 542925"/>
            <a:gd name="connsiteY10" fmla="*/ 399955 h 742950"/>
            <a:gd name="connsiteX11" fmla="*/ 344138 w 542925"/>
            <a:gd name="connsiteY11" fmla="*/ 736949 h 742950"/>
            <a:gd name="connsiteX12" fmla="*/ 384524 w 542925"/>
            <a:gd name="connsiteY12" fmla="*/ 696563 h 742950"/>
            <a:gd name="connsiteX13" fmla="*/ 95155 w 542925"/>
            <a:gd name="connsiteY13" fmla="*/ 407194 h 742950"/>
            <a:gd name="connsiteX14" fmla="*/ 173831 w 542925"/>
            <a:gd name="connsiteY14" fmla="*/ 407194 h 742950"/>
            <a:gd name="connsiteX15" fmla="*/ 366713 w 542925"/>
            <a:gd name="connsiteY15" fmla="*/ 236315 h 742950"/>
            <a:gd name="connsiteX16" fmla="*/ 540544 w 542925"/>
            <a:gd name="connsiteY16" fmla="*/ 236315 h 742950"/>
            <a:gd name="connsiteX17" fmla="*/ 540544 w 542925"/>
            <a:gd name="connsiteY17" fmla="*/ 178022 h 742950"/>
            <a:gd name="connsiteX18" fmla="*/ 366713 w 542925"/>
            <a:gd name="connsiteY18" fmla="*/ 178022 h 742950"/>
            <a:gd name="connsiteX19" fmla="*/ 309086 w 542925"/>
            <a:gd name="connsiteY19" fmla="*/ 64294 h 742950"/>
            <a:gd name="connsiteX20" fmla="*/ 540544 w 542925"/>
            <a:gd name="connsiteY20" fmla="*/ 64294 h 7429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542925" h="742950">
              <a:moveTo>
                <a:pt x="540544" y="7144"/>
              </a:moveTo>
              <a:lnTo>
                <a:pt x="7144" y="7144"/>
              </a:lnTo>
              <a:lnTo>
                <a:pt x="7144" y="64294"/>
              </a:lnTo>
              <a:lnTo>
                <a:pt x="178594" y="64294"/>
              </a:lnTo>
              <a:cubicBezTo>
                <a:pt x="242791" y="68270"/>
                <a:pt x="296275" y="114952"/>
                <a:pt x="308896" y="178022"/>
              </a:cubicBezTo>
              <a:lnTo>
                <a:pt x="7144" y="178022"/>
              </a:lnTo>
              <a:lnTo>
                <a:pt x="7144" y="236315"/>
              </a:lnTo>
              <a:lnTo>
                <a:pt x="308896" y="236315"/>
              </a:lnTo>
              <a:cubicBezTo>
                <a:pt x="295466" y="300323"/>
                <a:pt x="239077" y="350044"/>
                <a:pt x="173831" y="350044"/>
              </a:cubicBezTo>
              <a:lnTo>
                <a:pt x="7144" y="350044"/>
              </a:lnTo>
              <a:lnTo>
                <a:pt x="7144" y="399955"/>
              </a:lnTo>
              <a:lnTo>
                <a:pt x="344138" y="736949"/>
              </a:lnTo>
              <a:lnTo>
                <a:pt x="384524" y="696563"/>
              </a:lnTo>
              <a:lnTo>
                <a:pt x="95155" y="407194"/>
              </a:lnTo>
              <a:lnTo>
                <a:pt x="173831" y="407194"/>
              </a:lnTo>
              <a:cubicBezTo>
                <a:pt x="270034" y="407194"/>
                <a:pt x="352425" y="330994"/>
                <a:pt x="366713" y="236315"/>
              </a:cubicBezTo>
              <a:lnTo>
                <a:pt x="540544" y="236315"/>
              </a:lnTo>
              <a:lnTo>
                <a:pt x="540544" y="178022"/>
              </a:lnTo>
              <a:lnTo>
                <a:pt x="366713" y="178022"/>
              </a:lnTo>
              <a:cubicBezTo>
                <a:pt x="360217" y="134907"/>
                <a:pt x="340011" y="95030"/>
                <a:pt x="309086" y="64294"/>
              </a:cubicBezTo>
              <a:lnTo>
                <a:pt x="540544" y="64294"/>
              </a:lnTo>
              <a:close/>
            </a:path>
          </a:pathLst>
        </a:custGeom>
        <a:solidFill>
          <a:schemeClr val="bg1"/>
        </a:solidFill>
        <a:ln w="9525" cap="flat">
          <a:noFill/>
          <a:prstDash val="solid"/>
          <a:miter/>
        </a:ln>
      </xdr:spPr>
      <xdr:txBody>
        <a:bodyPr rtlCol="0" anchor="ctr"/>
        <a:lstStyle/>
        <a:p>
          <a:endParaRPr lang="en-US"/>
        </a:p>
      </xdr:txBody>
    </xdr:sp>
    <xdr:clientData/>
  </xdr:twoCellAnchor>
  <xdr:twoCellAnchor editAs="oneCell">
    <xdr:from>
      <xdr:col>14</xdr:col>
      <xdr:colOff>423861</xdr:colOff>
      <xdr:row>4</xdr:row>
      <xdr:rowOff>95250</xdr:rowOff>
    </xdr:from>
    <xdr:to>
      <xdr:col>18</xdr:col>
      <xdr:colOff>576263</xdr:colOff>
      <xdr:row>10</xdr:row>
      <xdr:rowOff>6350</xdr:rowOff>
    </xdr:to>
    <mc:AlternateContent xmlns:mc="http://schemas.openxmlformats.org/markup-compatibility/2006" xmlns:a14="http://schemas.microsoft.com/office/drawing/2010/main">
      <mc:Choice Requires="a14">
        <xdr:graphicFrame macro="">
          <xdr:nvGraphicFramePr>
            <xdr:cNvPr id="67" name="Region 1">
              <a:extLst>
                <a:ext uri="{FF2B5EF4-FFF2-40B4-BE49-F238E27FC236}">
                  <a16:creationId xmlns:a16="http://schemas.microsoft.com/office/drawing/2014/main" id="{0998BC4C-35B1-4F31-B20A-CB8AA425355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000816" y="787977"/>
              <a:ext cx="2888674" cy="950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45050</xdr:colOff>
      <xdr:row>10</xdr:row>
      <xdr:rowOff>57922</xdr:rowOff>
    </xdr:from>
    <xdr:to>
      <xdr:col>3</xdr:col>
      <xdr:colOff>450505</xdr:colOff>
      <xdr:row>21</xdr:row>
      <xdr:rowOff>135152</xdr:rowOff>
    </xdr:to>
    <mc:AlternateContent xmlns:mc="http://schemas.openxmlformats.org/markup-compatibility/2006" xmlns:a14="http://schemas.microsoft.com/office/drawing/2010/main">
      <mc:Choice Requires="a14">
        <xdr:graphicFrame macro="">
          <xdr:nvGraphicFramePr>
            <xdr:cNvPr id="68" name="Product 1">
              <a:extLst>
                <a:ext uri="{FF2B5EF4-FFF2-40B4-BE49-F238E27FC236}">
                  <a16:creationId xmlns:a16="http://schemas.microsoft.com/office/drawing/2014/main" id="{FF7A2483-CEC7-4349-9819-6CB456C454D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5050" y="1789740"/>
              <a:ext cx="2457660" cy="19822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51486</xdr:colOff>
      <xdr:row>22</xdr:row>
      <xdr:rowOff>25743</xdr:rowOff>
    </xdr:from>
    <xdr:to>
      <xdr:col>3</xdr:col>
      <xdr:colOff>469710</xdr:colOff>
      <xdr:row>45</xdr:row>
      <xdr:rowOff>160894</xdr:rowOff>
    </xdr:to>
    <mc:AlternateContent xmlns:mc="http://schemas.openxmlformats.org/markup-compatibility/2006" xmlns:a14="http://schemas.microsoft.com/office/drawing/2010/main">
      <mc:Choice Requires="a14">
        <xdr:graphicFrame macro="">
          <xdr:nvGraphicFramePr>
            <xdr:cNvPr id="69" name="Sales Person 1">
              <a:extLst>
                <a:ext uri="{FF2B5EF4-FFF2-40B4-BE49-F238E27FC236}">
                  <a16:creationId xmlns:a16="http://schemas.microsoft.com/office/drawing/2014/main" id="{C28DF199-3AEA-4EC4-A70B-46B4FF6FD6E8}"/>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51486" y="3835743"/>
              <a:ext cx="2470429" cy="4118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469814</xdr:colOff>
      <xdr:row>10</xdr:row>
      <xdr:rowOff>70795</xdr:rowOff>
    </xdr:from>
    <xdr:to>
      <xdr:col>10</xdr:col>
      <xdr:colOff>637145</xdr:colOff>
      <xdr:row>27</xdr:row>
      <xdr:rowOff>154459</xdr:rowOff>
    </xdr:to>
    <xdr:sp macro="" textlink="">
      <xdr:nvSpPr>
        <xdr:cNvPr id="70" name="Rectangle: Rounded Corners 69">
          <a:extLst>
            <a:ext uri="{FF2B5EF4-FFF2-40B4-BE49-F238E27FC236}">
              <a16:creationId xmlns:a16="http://schemas.microsoft.com/office/drawing/2014/main" id="{39BFB295-C508-44BD-ADE6-D9B584515ADB}"/>
            </a:ext>
          </a:extLst>
        </xdr:cNvPr>
        <xdr:cNvSpPr/>
      </xdr:nvSpPr>
      <xdr:spPr>
        <a:xfrm>
          <a:off x="2535710" y="1808464"/>
          <a:ext cx="4987753" cy="3037702"/>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b="1">
              <a:solidFill>
                <a:schemeClr val="accent1">
                  <a:lumMod val="50000"/>
                </a:schemeClr>
              </a:solidFill>
            </a:rPr>
            <a:t>Unit</a:t>
          </a:r>
          <a:r>
            <a:rPr lang="en-US" sz="1400" b="1" baseline="0">
              <a:solidFill>
                <a:schemeClr val="accent1">
                  <a:lumMod val="50000"/>
                </a:schemeClr>
              </a:solidFill>
            </a:rPr>
            <a:t> Sold by Product</a:t>
          </a:r>
          <a:endParaRPr lang="en-US" sz="1400" b="1">
            <a:solidFill>
              <a:schemeClr val="accent1">
                <a:lumMod val="50000"/>
              </a:schemeClr>
            </a:solidFill>
          </a:endParaRPr>
        </a:p>
      </xdr:txBody>
    </xdr:sp>
    <xdr:clientData/>
  </xdr:twoCellAnchor>
  <xdr:twoCellAnchor>
    <xdr:from>
      <xdr:col>3</xdr:col>
      <xdr:colOff>624273</xdr:colOff>
      <xdr:row>12</xdr:row>
      <xdr:rowOff>148024</xdr:rowOff>
    </xdr:from>
    <xdr:to>
      <xdr:col>10</xdr:col>
      <xdr:colOff>424762</xdr:colOff>
      <xdr:row>26</xdr:row>
      <xdr:rowOff>96537</xdr:rowOff>
    </xdr:to>
    <xdr:graphicFrame macro="">
      <xdr:nvGraphicFramePr>
        <xdr:cNvPr id="73" name="Chart 72">
          <a:extLst>
            <a:ext uri="{FF2B5EF4-FFF2-40B4-BE49-F238E27FC236}">
              <a16:creationId xmlns:a16="http://schemas.microsoft.com/office/drawing/2014/main" id="{0D64938E-D0F4-4249-9F22-58DD3AF7F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23812</xdr:colOff>
      <xdr:row>27</xdr:row>
      <xdr:rowOff>158750</xdr:rowOff>
    </xdr:from>
    <xdr:to>
      <xdr:col>18</xdr:col>
      <xdr:colOff>547688</xdr:colOff>
      <xdr:row>45</xdr:row>
      <xdr:rowOff>67789</xdr:rowOff>
    </xdr:to>
    <xdr:sp macro="" textlink="">
      <xdr:nvSpPr>
        <xdr:cNvPr id="74" name="Rectangle: Rounded Corners 73">
          <a:extLst>
            <a:ext uri="{FF2B5EF4-FFF2-40B4-BE49-F238E27FC236}">
              <a16:creationId xmlns:a16="http://schemas.microsoft.com/office/drawing/2014/main" id="{BB42504F-EB59-454D-9304-910795490119}"/>
            </a:ext>
          </a:extLst>
        </xdr:cNvPr>
        <xdr:cNvSpPr/>
      </xdr:nvSpPr>
      <xdr:spPr>
        <a:xfrm>
          <a:off x="7532687" y="4873625"/>
          <a:ext cx="5302251" cy="3052289"/>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b="1">
              <a:solidFill>
                <a:schemeClr val="accent1">
                  <a:lumMod val="50000"/>
                </a:schemeClr>
              </a:solidFill>
            </a:rPr>
            <a:t>Total</a:t>
          </a:r>
          <a:r>
            <a:rPr lang="en-US" sz="1400" b="1" baseline="0">
              <a:solidFill>
                <a:schemeClr val="accent1">
                  <a:lumMod val="50000"/>
                </a:schemeClr>
              </a:solidFill>
            </a:rPr>
            <a:t> Sales by Sales Person</a:t>
          </a:r>
          <a:endParaRPr lang="en-US" sz="1400" b="1">
            <a:solidFill>
              <a:schemeClr val="accent1">
                <a:lumMod val="50000"/>
              </a:schemeClr>
            </a:solidFill>
          </a:endParaRPr>
        </a:p>
      </xdr:txBody>
    </xdr:sp>
    <xdr:clientData/>
  </xdr:twoCellAnchor>
  <xdr:twoCellAnchor>
    <xdr:from>
      <xdr:col>3</xdr:col>
      <xdr:colOff>489121</xdr:colOff>
      <xdr:row>28</xdr:row>
      <xdr:rowOff>38615</xdr:rowOff>
    </xdr:from>
    <xdr:to>
      <xdr:col>10</xdr:col>
      <xdr:colOff>656452</xdr:colOff>
      <xdr:row>45</xdr:row>
      <xdr:rowOff>122279</xdr:rowOff>
    </xdr:to>
    <xdr:sp macro="" textlink="">
      <xdr:nvSpPr>
        <xdr:cNvPr id="75" name="Rectangle: Rounded Corners 74">
          <a:extLst>
            <a:ext uri="{FF2B5EF4-FFF2-40B4-BE49-F238E27FC236}">
              <a16:creationId xmlns:a16="http://schemas.microsoft.com/office/drawing/2014/main" id="{2E3122A7-05B9-4B67-A189-0E1024A6106D}"/>
            </a:ext>
          </a:extLst>
        </xdr:cNvPr>
        <xdr:cNvSpPr/>
      </xdr:nvSpPr>
      <xdr:spPr>
        <a:xfrm>
          <a:off x="2555017" y="4904088"/>
          <a:ext cx="4987753" cy="3037702"/>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b="1">
              <a:solidFill>
                <a:schemeClr val="accent1">
                  <a:lumMod val="50000"/>
                </a:schemeClr>
              </a:solidFill>
            </a:rPr>
            <a:t>Total</a:t>
          </a:r>
          <a:r>
            <a:rPr lang="en-US" sz="1400" b="1" baseline="0">
              <a:solidFill>
                <a:schemeClr val="accent1">
                  <a:lumMod val="50000"/>
                </a:schemeClr>
              </a:solidFill>
            </a:rPr>
            <a:t> Sales by Product</a:t>
          </a:r>
          <a:endParaRPr lang="en-US" sz="1400" b="1">
            <a:solidFill>
              <a:schemeClr val="accent1">
                <a:lumMod val="50000"/>
              </a:schemeClr>
            </a:solidFill>
          </a:endParaRPr>
        </a:p>
      </xdr:txBody>
    </xdr:sp>
    <xdr:clientData/>
  </xdr:twoCellAnchor>
  <xdr:twoCellAnchor>
    <xdr:from>
      <xdr:col>11</xdr:col>
      <xdr:colOff>34967</xdr:colOff>
      <xdr:row>10</xdr:row>
      <xdr:rowOff>79589</xdr:rowOff>
    </xdr:from>
    <xdr:to>
      <xdr:col>18</xdr:col>
      <xdr:colOff>571500</xdr:colOff>
      <xdr:row>27</xdr:row>
      <xdr:rowOff>164112</xdr:rowOff>
    </xdr:to>
    <xdr:sp macro="" textlink="">
      <xdr:nvSpPr>
        <xdr:cNvPr id="76" name="Rectangle: Rounded Corners 75">
          <a:extLst>
            <a:ext uri="{FF2B5EF4-FFF2-40B4-BE49-F238E27FC236}">
              <a16:creationId xmlns:a16="http://schemas.microsoft.com/office/drawing/2014/main" id="{A8B6902D-3929-476E-B973-058CDD4E53D7}"/>
            </a:ext>
          </a:extLst>
        </xdr:cNvPr>
        <xdr:cNvSpPr/>
      </xdr:nvSpPr>
      <xdr:spPr>
        <a:xfrm>
          <a:off x="7543842" y="1825839"/>
          <a:ext cx="5314908" cy="3053148"/>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b="1">
              <a:solidFill>
                <a:schemeClr val="accent1">
                  <a:lumMod val="50000"/>
                </a:schemeClr>
              </a:solidFill>
            </a:rPr>
            <a:t>Total</a:t>
          </a:r>
          <a:r>
            <a:rPr lang="en-US" sz="1400" b="1" baseline="0">
              <a:solidFill>
                <a:schemeClr val="accent1">
                  <a:lumMod val="50000"/>
                </a:schemeClr>
              </a:solidFill>
            </a:rPr>
            <a:t> Sales by Region</a:t>
          </a:r>
          <a:endParaRPr lang="en-US" sz="1400" b="1">
            <a:solidFill>
              <a:schemeClr val="accent1">
                <a:lumMod val="50000"/>
              </a:schemeClr>
            </a:solidFill>
          </a:endParaRPr>
        </a:p>
      </xdr:txBody>
    </xdr:sp>
    <xdr:clientData/>
  </xdr:twoCellAnchor>
  <xdr:twoCellAnchor>
    <xdr:from>
      <xdr:col>4</xdr:col>
      <xdr:colOff>70580</xdr:colOff>
      <xdr:row>30</xdr:row>
      <xdr:rowOff>133652</xdr:rowOff>
    </xdr:from>
    <xdr:to>
      <xdr:col>9</xdr:col>
      <xdr:colOff>611188</xdr:colOff>
      <xdr:row>43</xdr:row>
      <xdr:rowOff>166689</xdr:rowOff>
    </xdr:to>
    <xdr:graphicFrame macro="">
      <xdr:nvGraphicFramePr>
        <xdr:cNvPr id="77" name="Chart 76">
          <a:extLst>
            <a:ext uri="{FF2B5EF4-FFF2-40B4-BE49-F238E27FC236}">
              <a16:creationId xmlns:a16="http://schemas.microsoft.com/office/drawing/2014/main" id="{D46AB67A-8A04-4BCA-8BC3-C7C50F4BE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103186</xdr:colOff>
      <xdr:row>30</xdr:row>
      <xdr:rowOff>0</xdr:rowOff>
    </xdr:from>
    <xdr:to>
      <xdr:col>18</xdr:col>
      <xdr:colOff>428625</xdr:colOff>
      <xdr:row>44</xdr:row>
      <xdr:rowOff>167483</xdr:rowOff>
    </xdr:to>
    <xdr:graphicFrame macro="">
      <xdr:nvGraphicFramePr>
        <xdr:cNvPr id="78" name="Chart 77">
          <a:extLst>
            <a:ext uri="{FF2B5EF4-FFF2-40B4-BE49-F238E27FC236}">
              <a16:creationId xmlns:a16="http://schemas.microsoft.com/office/drawing/2014/main" id="{91045C82-6CB6-4EB9-83F9-7E0E5DAF7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112711</xdr:colOff>
      <xdr:row>10</xdr:row>
      <xdr:rowOff>77788</xdr:rowOff>
    </xdr:from>
    <xdr:to>
      <xdr:col>18</xdr:col>
      <xdr:colOff>398463</xdr:colOff>
      <xdr:row>26</xdr:row>
      <xdr:rowOff>165100</xdr:rowOff>
    </xdr:to>
    <xdr:graphicFrame macro="">
      <xdr:nvGraphicFramePr>
        <xdr:cNvPr id="79" name="Chart 78">
          <a:extLst>
            <a:ext uri="{FF2B5EF4-FFF2-40B4-BE49-F238E27FC236}">
              <a16:creationId xmlns:a16="http://schemas.microsoft.com/office/drawing/2014/main" id="{B7000FF1-AEF3-4D61-8C7E-E48D98367A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60612</xdr:colOff>
      <xdr:row>0</xdr:row>
      <xdr:rowOff>51957</xdr:rowOff>
    </xdr:from>
    <xdr:to>
      <xdr:col>6</xdr:col>
      <xdr:colOff>8659</xdr:colOff>
      <xdr:row>3</xdr:row>
      <xdr:rowOff>164524</xdr:rowOff>
    </xdr:to>
    <xdr:sp macro="" textlink="">
      <xdr:nvSpPr>
        <xdr:cNvPr id="82" name="Oval 81">
          <a:extLst>
            <a:ext uri="{FF2B5EF4-FFF2-40B4-BE49-F238E27FC236}">
              <a16:creationId xmlns:a16="http://schemas.microsoft.com/office/drawing/2014/main" id="{70040329-B062-4225-9E7C-69EA4C4862E7}"/>
            </a:ext>
          </a:extLst>
        </xdr:cNvPr>
        <xdr:cNvSpPr/>
      </xdr:nvSpPr>
      <xdr:spPr>
        <a:xfrm>
          <a:off x="3480954" y="51957"/>
          <a:ext cx="632114" cy="632112"/>
        </a:xfrm>
        <a:prstGeom prst="ellipse">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86591</xdr:colOff>
      <xdr:row>0</xdr:row>
      <xdr:rowOff>77932</xdr:rowOff>
    </xdr:from>
    <xdr:to>
      <xdr:col>14</xdr:col>
      <xdr:colOff>103908</xdr:colOff>
      <xdr:row>3</xdr:row>
      <xdr:rowOff>103910</xdr:rowOff>
    </xdr:to>
    <xdr:sp macro="" textlink="">
      <xdr:nvSpPr>
        <xdr:cNvPr id="83" name="TextBox 82">
          <a:extLst>
            <a:ext uri="{FF2B5EF4-FFF2-40B4-BE49-F238E27FC236}">
              <a16:creationId xmlns:a16="http://schemas.microsoft.com/office/drawing/2014/main" id="{8DA08D07-B011-40DE-B015-7B23BF88AADB}"/>
            </a:ext>
          </a:extLst>
        </xdr:cNvPr>
        <xdr:cNvSpPr txBox="1"/>
      </xdr:nvSpPr>
      <xdr:spPr>
        <a:xfrm>
          <a:off x="4191000" y="77932"/>
          <a:ext cx="5489863" cy="545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accent1">
                  <a:lumMod val="50000"/>
                </a:schemeClr>
              </a:solidFill>
            </a:rPr>
            <a:t>Sales</a:t>
          </a:r>
          <a:r>
            <a:rPr lang="en-US" sz="3200" b="1" baseline="0">
              <a:solidFill>
                <a:schemeClr val="accent1">
                  <a:lumMod val="50000"/>
                </a:schemeClr>
              </a:solidFill>
            </a:rPr>
            <a:t> Dashboard - 2026</a:t>
          </a:r>
          <a:endParaRPr lang="en-US" sz="3200" b="1">
            <a:solidFill>
              <a:schemeClr val="accent1">
                <a:lumMod val="50000"/>
              </a:schemeClr>
            </a:solidFill>
          </a:endParaRPr>
        </a:p>
      </xdr:txBody>
    </xdr:sp>
    <xdr:clientData/>
  </xdr:twoCellAnchor>
  <xdr:twoCellAnchor>
    <xdr:from>
      <xdr:col>5</xdr:col>
      <xdr:colOff>147203</xdr:colOff>
      <xdr:row>0</xdr:row>
      <xdr:rowOff>95251</xdr:rowOff>
    </xdr:from>
    <xdr:to>
      <xdr:col>6</xdr:col>
      <xdr:colOff>17317</xdr:colOff>
      <xdr:row>3</xdr:row>
      <xdr:rowOff>129887</xdr:rowOff>
    </xdr:to>
    <xdr:grpSp>
      <xdr:nvGrpSpPr>
        <xdr:cNvPr id="91" name="Graphic 80" descr="Business Growth">
          <a:extLst>
            <a:ext uri="{FF2B5EF4-FFF2-40B4-BE49-F238E27FC236}">
              <a16:creationId xmlns:a16="http://schemas.microsoft.com/office/drawing/2014/main" id="{743C0985-86F2-46CE-B7F2-110F6DC0D39D}"/>
            </a:ext>
          </a:extLst>
        </xdr:cNvPr>
        <xdr:cNvGrpSpPr/>
      </xdr:nvGrpSpPr>
      <xdr:grpSpPr>
        <a:xfrm>
          <a:off x="3567545" y="95251"/>
          <a:ext cx="554181" cy="554181"/>
          <a:chOff x="3645477" y="164523"/>
          <a:chExt cx="554181" cy="554181"/>
        </a:xfrm>
        <a:solidFill>
          <a:schemeClr val="bg1"/>
        </a:solidFill>
      </xdr:grpSpPr>
      <xdr:sp macro="" textlink="">
        <xdr:nvSpPr>
          <xdr:cNvPr id="92" name="Freeform: Shape 91">
            <a:extLst>
              <a:ext uri="{FF2B5EF4-FFF2-40B4-BE49-F238E27FC236}">
                <a16:creationId xmlns:a16="http://schemas.microsoft.com/office/drawing/2014/main" id="{9E871B65-0BDB-40AF-A84A-4D89AE773971}"/>
              </a:ext>
            </a:extLst>
          </xdr:cNvPr>
          <xdr:cNvSpPr/>
        </xdr:nvSpPr>
        <xdr:spPr>
          <a:xfrm>
            <a:off x="3682693" y="345191"/>
            <a:ext cx="484908" cy="311727"/>
          </a:xfrm>
          <a:custGeom>
            <a:avLst/>
            <a:gdLst>
              <a:gd name="connsiteX0" fmla="*/ 389965 w 484908"/>
              <a:gd name="connsiteY0" fmla="*/ 119225 h 311726"/>
              <a:gd name="connsiteX1" fmla="*/ 448270 w 484908"/>
              <a:gd name="connsiteY1" fmla="*/ 60920 h 311726"/>
              <a:gd name="connsiteX2" fmla="*/ 482329 w 484908"/>
              <a:gd name="connsiteY2" fmla="*/ 94979 h 311726"/>
              <a:gd name="connsiteX3" fmla="*/ 482329 w 484908"/>
              <a:gd name="connsiteY3" fmla="*/ 2616 h 311726"/>
              <a:gd name="connsiteX4" fmla="*/ 389965 w 484908"/>
              <a:gd name="connsiteY4" fmla="*/ 2616 h 311726"/>
              <a:gd name="connsiteX5" fmla="*/ 424024 w 484908"/>
              <a:gd name="connsiteY5" fmla="*/ 36675 h 311726"/>
              <a:gd name="connsiteX6" fmla="*/ 366874 w 484908"/>
              <a:gd name="connsiteY6" fmla="*/ 93825 h 311726"/>
              <a:gd name="connsiteX7" fmla="*/ 268738 w 484908"/>
              <a:gd name="connsiteY7" fmla="*/ 191961 h 311726"/>
              <a:gd name="connsiteX8" fmla="*/ 182147 w 484908"/>
              <a:gd name="connsiteY8" fmla="*/ 105370 h 311726"/>
              <a:gd name="connsiteX9" fmla="*/ 2616 w 484908"/>
              <a:gd name="connsiteY9" fmla="*/ 284902 h 311726"/>
              <a:gd name="connsiteX10" fmla="*/ 26861 w 484908"/>
              <a:gd name="connsiteY10" fmla="*/ 309147 h 311726"/>
              <a:gd name="connsiteX11" fmla="*/ 182147 w 484908"/>
              <a:gd name="connsiteY11" fmla="*/ 153861 h 311726"/>
              <a:gd name="connsiteX12" fmla="*/ 268738 w 484908"/>
              <a:gd name="connsiteY12" fmla="*/ 240452 h 311726"/>
              <a:gd name="connsiteX13" fmla="*/ 389965 w 484908"/>
              <a:gd name="connsiteY13" fmla="*/ 119225 h 3117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484908" h="311726">
                <a:moveTo>
                  <a:pt x="389965" y="119225"/>
                </a:moveTo>
                <a:lnTo>
                  <a:pt x="448270" y="60920"/>
                </a:lnTo>
                <a:lnTo>
                  <a:pt x="482329" y="94979"/>
                </a:lnTo>
                <a:lnTo>
                  <a:pt x="482329" y="2616"/>
                </a:lnTo>
                <a:lnTo>
                  <a:pt x="389965" y="2616"/>
                </a:lnTo>
                <a:lnTo>
                  <a:pt x="424024" y="36675"/>
                </a:lnTo>
                <a:lnTo>
                  <a:pt x="366874" y="93825"/>
                </a:lnTo>
                <a:lnTo>
                  <a:pt x="268738" y="191961"/>
                </a:lnTo>
                <a:lnTo>
                  <a:pt x="182147" y="105370"/>
                </a:lnTo>
                <a:lnTo>
                  <a:pt x="2616" y="284902"/>
                </a:lnTo>
                <a:lnTo>
                  <a:pt x="26861" y="309147"/>
                </a:lnTo>
                <a:lnTo>
                  <a:pt x="182147" y="153861"/>
                </a:lnTo>
                <a:lnTo>
                  <a:pt x="268738" y="240452"/>
                </a:lnTo>
                <a:lnTo>
                  <a:pt x="389965" y="119225"/>
                </a:lnTo>
                <a:close/>
              </a:path>
            </a:pathLst>
          </a:custGeom>
          <a:grpFill/>
          <a:ln w="5755" cap="flat">
            <a:noFill/>
            <a:prstDash val="solid"/>
            <a:miter/>
          </a:ln>
        </xdr:spPr>
        <xdr:txBody>
          <a:bodyPr rtlCol="0" anchor="ctr"/>
          <a:lstStyle/>
          <a:p>
            <a:endParaRPr lang="en-US"/>
          </a:p>
        </xdr:txBody>
      </xdr:sp>
      <xdr:sp macro="" textlink="">
        <xdr:nvSpPr>
          <xdr:cNvPr id="93" name="Freeform: Shape 92">
            <a:extLst>
              <a:ext uri="{FF2B5EF4-FFF2-40B4-BE49-F238E27FC236}">
                <a16:creationId xmlns:a16="http://schemas.microsoft.com/office/drawing/2014/main" id="{11A434A3-B81C-42FA-9E59-A8B1AAEFAFD2}"/>
              </a:ext>
            </a:extLst>
          </xdr:cNvPr>
          <xdr:cNvSpPr/>
        </xdr:nvSpPr>
        <xdr:spPr>
          <a:xfrm>
            <a:off x="3717907" y="248498"/>
            <a:ext cx="57727" cy="57727"/>
          </a:xfrm>
          <a:custGeom>
            <a:avLst/>
            <a:gdLst>
              <a:gd name="connsiteX0" fmla="*/ 60343 w 57727"/>
              <a:gd name="connsiteY0" fmla="*/ 31479 h 57727"/>
              <a:gd name="connsiteX1" fmla="*/ 31479 w 57727"/>
              <a:gd name="connsiteY1" fmla="*/ 60343 h 57727"/>
              <a:gd name="connsiteX2" fmla="*/ 2616 w 57727"/>
              <a:gd name="connsiteY2" fmla="*/ 31479 h 57727"/>
              <a:gd name="connsiteX3" fmla="*/ 31479 w 57727"/>
              <a:gd name="connsiteY3" fmla="*/ 2616 h 57727"/>
              <a:gd name="connsiteX4" fmla="*/ 60343 w 57727"/>
              <a:gd name="connsiteY4" fmla="*/ 31479 h 5772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7727" h="57727">
                <a:moveTo>
                  <a:pt x="60343" y="31479"/>
                </a:moveTo>
                <a:cubicBezTo>
                  <a:pt x="60343" y="47420"/>
                  <a:pt x="47420" y="60343"/>
                  <a:pt x="31479" y="60343"/>
                </a:cubicBezTo>
                <a:cubicBezTo>
                  <a:pt x="15538" y="60343"/>
                  <a:pt x="2616" y="47420"/>
                  <a:pt x="2616" y="31479"/>
                </a:cubicBezTo>
                <a:cubicBezTo>
                  <a:pt x="2616" y="15538"/>
                  <a:pt x="15538" y="2616"/>
                  <a:pt x="31479" y="2616"/>
                </a:cubicBezTo>
                <a:cubicBezTo>
                  <a:pt x="47420" y="2616"/>
                  <a:pt x="60343" y="15538"/>
                  <a:pt x="60343" y="31479"/>
                </a:cubicBezTo>
                <a:close/>
              </a:path>
            </a:pathLst>
          </a:custGeom>
          <a:grpFill/>
          <a:ln w="5755" cap="flat">
            <a:noFill/>
            <a:prstDash val="solid"/>
            <a:miter/>
          </a:ln>
        </xdr:spPr>
        <xdr:txBody>
          <a:bodyPr rtlCol="0" anchor="ctr"/>
          <a:lstStyle/>
          <a:p>
            <a:endParaRPr lang="en-US"/>
          </a:p>
        </xdr:txBody>
      </xdr:sp>
      <xdr:sp macro="" textlink="">
        <xdr:nvSpPr>
          <xdr:cNvPr id="94" name="Freeform: Shape 93">
            <a:extLst>
              <a:ext uri="{FF2B5EF4-FFF2-40B4-BE49-F238E27FC236}">
                <a16:creationId xmlns:a16="http://schemas.microsoft.com/office/drawing/2014/main" id="{F3F0D2E1-32CF-4A6B-BA85-58930848B97B}"/>
              </a:ext>
            </a:extLst>
          </xdr:cNvPr>
          <xdr:cNvSpPr/>
        </xdr:nvSpPr>
        <xdr:spPr>
          <a:xfrm>
            <a:off x="3677583" y="311999"/>
            <a:ext cx="369454" cy="248227"/>
          </a:xfrm>
          <a:custGeom>
            <a:avLst/>
            <a:gdLst>
              <a:gd name="connsiteX0" fmla="*/ 349875 w 369454"/>
              <a:gd name="connsiteY0" fmla="*/ 116395 h 248226"/>
              <a:gd name="connsiteX1" fmla="*/ 355647 w 369454"/>
              <a:gd name="connsiteY1" fmla="*/ 110622 h 248226"/>
              <a:gd name="connsiteX2" fmla="*/ 368867 w 369454"/>
              <a:gd name="connsiteY2" fmla="*/ 97402 h 248226"/>
              <a:gd name="connsiteX3" fmla="*/ 352819 w 369454"/>
              <a:gd name="connsiteY3" fmla="*/ 25243 h 248226"/>
              <a:gd name="connsiteX4" fmla="*/ 348893 w 369454"/>
              <a:gd name="connsiteY4" fmla="*/ 18778 h 248226"/>
              <a:gd name="connsiteX5" fmla="*/ 325802 w 369454"/>
              <a:gd name="connsiteY5" fmla="*/ 6482 h 248226"/>
              <a:gd name="connsiteX6" fmla="*/ 279274 w 369454"/>
              <a:gd name="connsiteY6" fmla="*/ 6482 h 248226"/>
              <a:gd name="connsiteX7" fmla="*/ 256183 w 369454"/>
              <a:gd name="connsiteY7" fmla="*/ 18778 h 248226"/>
              <a:gd name="connsiteX8" fmla="*/ 252258 w 369454"/>
              <a:gd name="connsiteY8" fmla="*/ 25243 h 248226"/>
              <a:gd name="connsiteX9" fmla="*/ 244984 w 369454"/>
              <a:gd name="connsiteY9" fmla="*/ 59072 h 248226"/>
              <a:gd name="connsiteX10" fmla="*/ 244984 w 369454"/>
              <a:gd name="connsiteY10" fmla="*/ 59072 h 248226"/>
              <a:gd name="connsiteX11" fmla="*/ 237422 w 369454"/>
              <a:gd name="connsiteY11" fmla="*/ 25243 h 248226"/>
              <a:gd name="connsiteX12" fmla="*/ 233439 w 369454"/>
              <a:gd name="connsiteY12" fmla="*/ 18778 h 248226"/>
              <a:gd name="connsiteX13" fmla="*/ 210348 w 369454"/>
              <a:gd name="connsiteY13" fmla="*/ 6482 h 248226"/>
              <a:gd name="connsiteX14" fmla="*/ 141075 w 369454"/>
              <a:gd name="connsiteY14" fmla="*/ 18778 h 248226"/>
              <a:gd name="connsiteX15" fmla="*/ 137150 w 369454"/>
              <a:gd name="connsiteY15" fmla="*/ 25243 h 248226"/>
              <a:gd name="connsiteX16" fmla="*/ 129530 w 369454"/>
              <a:gd name="connsiteY16" fmla="*/ 57975 h 248226"/>
              <a:gd name="connsiteX17" fmla="*/ 129530 w 369454"/>
              <a:gd name="connsiteY17" fmla="*/ 57975 h 248226"/>
              <a:gd name="connsiteX18" fmla="*/ 122025 w 369454"/>
              <a:gd name="connsiteY18" fmla="*/ 25243 h 248226"/>
              <a:gd name="connsiteX19" fmla="*/ 117984 w 369454"/>
              <a:gd name="connsiteY19" fmla="*/ 18778 h 248226"/>
              <a:gd name="connsiteX20" fmla="*/ 94894 w 369454"/>
              <a:gd name="connsiteY20" fmla="*/ 6482 h 248226"/>
              <a:gd name="connsiteX21" fmla="*/ 48365 w 369454"/>
              <a:gd name="connsiteY21" fmla="*/ 6482 h 248226"/>
              <a:gd name="connsiteX22" fmla="*/ 25275 w 369454"/>
              <a:gd name="connsiteY22" fmla="*/ 18778 h 248226"/>
              <a:gd name="connsiteX23" fmla="*/ 21349 w 369454"/>
              <a:gd name="connsiteY23" fmla="*/ 25243 h 248226"/>
              <a:gd name="connsiteX24" fmla="*/ 2992 w 369454"/>
              <a:gd name="connsiteY24" fmla="*/ 109063 h 248226"/>
              <a:gd name="connsiteX25" fmla="*/ 11706 w 369454"/>
              <a:gd name="connsiteY25" fmla="*/ 123733 h 248226"/>
              <a:gd name="connsiteX26" fmla="*/ 12171 w 369454"/>
              <a:gd name="connsiteY26" fmla="*/ 123841 h 248226"/>
              <a:gd name="connsiteX27" fmla="*/ 14076 w 369454"/>
              <a:gd name="connsiteY27" fmla="*/ 123841 h 248226"/>
              <a:gd name="connsiteX28" fmla="*/ 25621 w 369454"/>
              <a:gd name="connsiteY28" fmla="*/ 114778 h 248226"/>
              <a:gd name="connsiteX29" fmla="*/ 42939 w 369454"/>
              <a:gd name="connsiteY29" fmla="*/ 37251 h 248226"/>
              <a:gd name="connsiteX30" fmla="*/ 42939 w 369454"/>
              <a:gd name="connsiteY30" fmla="*/ 37251 h 248226"/>
              <a:gd name="connsiteX31" fmla="*/ 42939 w 369454"/>
              <a:gd name="connsiteY31" fmla="*/ 78237 h 248226"/>
              <a:gd name="connsiteX32" fmla="*/ 25621 w 369454"/>
              <a:gd name="connsiteY32" fmla="*/ 164250 h 248226"/>
              <a:gd name="connsiteX33" fmla="*/ 42939 w 369454"/>
              <a:gd name="connsiteY33" fmla="*/ 164250 h 248226"/>
              <a:gd name="connsiteX34" fmla="*/ 42939 w 369454"/>
              <a:gd name="connsiteY34" fmla="*/ 250206 h 248226"/>
              <a:gd name="connsiteX35" fmla="*/ 66030 w 369454"/>
              <a:gd name="connsiteY35" fmla="*/ 227115 h 248226"/>
              <a:gd name="connsiteX36" fmla="*/ 66030 w 369454"/>
              <a:gd name="connsiteY36" fmla="*/ 164250 h 248226"/>
              <a:gd name="connsiteX37" fmla="*/ 77575 w 369454"/>
              <a:gd name="connsiteY37" fmla="*/ 164250 h 248226"/>
              <a:gd name="connsiteX38" fmla="*/ 77575 w 369454"/>
              <a:gd name="connsiteY38" fmla="*/ 215570 h 248226"/>
              <a:gd name="connsiteX39" fmla="*/ 100666 w 369454"/>
              <a:gd name="connsiteY39" fmla="*/ 192479 h 248226"/>
              <a:gd name="connsiteX40" fmla="*/ 100666 w 369454"/>
              <a:gd name="connsiteY40" fmla="*/ 164250 h 248226"/>
              <a:gd name="connsiteX41" fmla="*/ 117984 w 369454"/>
              <a:gd name="connsiteY41" fmla="*/ 164250 h 248226"/>
              <a:gd name="connsiteX42" fmla="*/ 100666 w 369454"/>
              <a:gd name="connsiteY42" fmla="*/ 78295 h 248226"/>
              <a:gd name="connsiteX43" fmla="*/ 100666 w 369454"/>
              <a:gd name="connsiteY43" fmla="*/ 37886 h 248226"/>
              <a:gd name="connsiteX44" fmla="*/ 100666 w 369454"/>
              <a:gd name="connsiteY44" fmla="*/ 37886 h 248226"/>
              <a:gd name="connsiteX45" fmla="*/ 117984 w 369454"/>
              <a:gd name="connsiteY45" fmla="*/ 113277 h 248226"/>
              <a:gd name="connsiteX46" fmla="*/ 129530 w 369454"/>
              <a:gd name="connsiteY46" fmla="*/ 123841 h 248226"/>
              <a:gd name="connsiteX47" fmla="*/ 129530 w 369454"/>
              <a:gd name="connsiteY47" fmla="*/ 123841 h 248226"/>
              <a:gd name="connsiteX48" fmla="*/ 140729 w 369454"/>
              <a:gd name="connsiteY48" fmla="*/ 114778 h 248226"/>
              <a:gd name="connsiteX49" fmla="*/ 141075 w 369454"/>
              <a:gd name="connsiteY49" fmla="*/ 112296 h 248226"/>
              <a:gd name="connsiteX50" fmla="*/ 157932 w 369454"/>
              <a:gd name="connsiteY50" fmla="*/ 38232 h 248226"/>
              <a:gd name="connsiteX51" fmla="*/ 157932 w 369454"/>
              <a:gd name="connsiteY51" fmla="*/ 38232 h 248226"/>
              <a:gd name="connsiteX52" fmla="*/ 157932 w 369454"/>
              <a:gd name="connsiteY52" fmla="*/ 135040 h 248226"/>
              <a:gd name="connsiteX53" fmla="*/ 170689 w 369454"/>
              <a:gd name="connsiteY53" fmla="*/ 122225 h 248226"/>
              <a:gd name="connsiteX54" fmla="*/ 203345 w 369454"/>
              <a:gd name="connsiteY54" fmla="*/ 122207 h 248226"/>
              <a:gd name="connsiteX55" fmla="*/ 203363 w 369454"/>
              <a:gd name="connsiteY55" fmla="*/ 122225 h 248226"/>
              <a:gd name="connsiteX56" fmla="*/ 216121 w 369454"/>
              <a:gd name="connsiteY56" fmla="*/ 134521 h 248226"/>
              <a:gd name="connsiteX57" fmla="*/ 216121 w 369454"/>
              <a:gd name="connsiteY57" fmla="*/ 38290 h 248226"/>
              <a:gd name="connsiteX58" fmla="*/ 216121 w 369454"/>
              <a:gd name="connsiteY58" fmla="*/ 38290 h 248226"/>
              <a:gd name="connsiteX59" fmla="*/ 233439 w 369454"/>
              <a:gd name="connsiteY59" fmla="*/ 114836 h 248226"/>
              <a:gd name="connsiteX60" fmla="*/ 244984 w 369454"/>
              <a:gd name="connsiteY60" fmla="*/ 123841 h 248226"/>
              <a:gd name="connsiteX61" fmla="*/ 244984 w 369454"/>
              <a:gd name="connsiteY61" fmla="*/ 123841 h 248226"/>
              <a:gd name="connsiteX62" fmla="*/ 256241 w 369454"/>
              <a:gd name="connsiteY62" fmla="*/ 114778 h 248226"/>
              <a:gd name="connsiteX63" fmla="*/ 273559 w 369454"/>
              <a:gd name="connsiteY63" fmla="*/ 38232 h 248226"/>
              <a:gd name="connsiteX64" fmla="*/ 273559 w 369454"/>
              <a:gd name="connsiteY64" fmla="*/ 38232 h 248226"/>
              <a:gd name="connsiteX65" fmla="*/ 273559 w 369454"/>
              <a:gd name="connsiteY65" fmla="*/ 192364 h 248226"/>
              <a:gd name="connsiteX66" fmla="*/ 273559 w 369454"/>
              <a:gd name="connsiteY66" fmla="*/ 192364 h 248226"/>
              <a:gd name="connsiteX67" fmla="*/ 296650 w 369454"/>
              <a:gd name="connsiteY67" fmla="*/ 169273 h 248226"/>
              <a:gd name="connsiteX68" fmla="*/ 296650 w 369454"/>
              <a:gd name="connsiteY68" fmla="*/ 129614 h 248226"/>
              <a:gd name="connsiteX69" fmla="*/ 308196 w 369454"/>
              <a:gd name="connsiteY69" fmla="*/ 129614 h 248226"/>
              <a:gd name="connsiteX70" fmla="*/ 308196 w 369454"/>
              <a:gd name="connsiteY70" fmla="*/ 157958 h 248226"/>
              <a:gd name="connsiteX71" fmla="*/ 331286 w 369454"/>
              <a:gd name="connsiteY71" fmla="*/ 134867 h 248226"/>
              <a:gd name="connsiteX72" fmla="*/ 331286 w 369454"/>
              <a:gd name="connsiteY72" fmla="*/ 38290 h 248226"/>
              <a:gd name="connsiteX73" fmla="*/ 331286 w 369454"/>
              <a:gd name="connsiteY73" fmla="*/ 38290 h 248226"/>
              <a:gd name="connsiteX74" fmla="*/ 349470 w 369454"/>
              <a:gd name="connsiteY74" fmla="*/ 116452 h 2482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Lst>
            <a:rect l="l" t="t" r="r" b="b"/>
            <a:pathLst>
              <a:path w="369454" h="248226">
                <a:moveTo>
                  <a:pt x="349875" y="116395"/>
                </a:moveTo>
                <a:lnTo>
                  <a:pt x="355647" y="110622"/>
                </a:lnTo>
                <a:lnTo>
                  <a:pt x="368867" y="97402"/>
                </a:lnTo>
                <a:lnTo>
                  <a:pt x="352819" y="25243"/>
                </a:lnTo>
                <a:cubicBezTo>
                  <a:pt x="352328" y="22687"/>
                  <a:pt x="350934" y="20393"/>
                  <a:pt x="348893" y="18778"/>
                </a:cubicBezTo>
                <a:cubicBezTo>
                  <a:pt x="341979" y="13353"/>
                  <a:pt x="334162" y="9191"/>
                  <a:pt x="325802" y="6482"/>
                </a:cubicBezTo>
                <a:cubicBezTo>
                  <a:pt x="310721" y="1327"/>
                  <a:pt x="294355" y="1327"/>
                  <a:pt x="279274" y="6482"/>
                </a:cubicBezTo>
                <a:cubicBezTo>
                  <a:pt x="270916" y="9197"/>
                  <a:pt x="263101" y="13359"/>
                  <a:pt x="256183" y="18778"/>
                </a:cubicBezTo>
                <a:cubicBezTo>
                  <a:pt x="254186" y="20431"/>
                  <a:pt x="252803" y="22709"/>
                  <a:pt x="252258" y="25243"/>
                </a:cubicBezTo>
                <a:lnTo>
                  <a:pt x="244984" y="59072"/>
                </a:lnTo>
                <a:lnTo>
                  <a:pt x="244984" y="59072"/>
                </a:lnTo>
                <a:lnTo>
                  <a:pt x="237422" y="25243"/>
                </a:lnTo>
                <a:cubicBezTo>
                  <a:pt x="236893" y="22688"/>
                  <a:pt x="235483" y="20400"/>
                  <a:pt x="233439" y="18778"/>
                </a:cubicBezTo>
                <a:cubicBezTo>
                  <a:pt x="226525" y="13353"/>
                  <a:pt x="218708" y="9191"/>
                  <a:pt x="210348" y="6482"/>
                </a:cubicBezTo>
                <a:cubicBezTo>
                  <a:pt x="186648" y="-1167"/>
                  <a:pt x="160696" y="3439"/>
                  <a:pt x="141075" y="18778"/>
                </a:cubicBezTo>
                <a:cubicBezTo>
                  <a:pt x="139078" y="20431"/>
                  <a:pt x="137695" y="22709"/>
                  <a:pt x="137150" y="25243"/>
                </a:cubicBezTo>
                <a:lnTo>
                  <a:pt x="129530" y="57975"/>
                </a:lnTo>
                <a:cubicBezTo>
                  <a:pt x="129530" y="57975"/>
                  <a:pt x="129530" y="57975"/>
                  <a:pt x="129530" y="57975"/>
                </a:cubicBezTo>
                <a:lnTo>
                  <a:pt x="122025" y="25243"/>
                </a:lnTo>
                <a:cubicBezTo>
                  <a:pt x="121449" y="22693"/>
                  <a:pt x="120025" y="20413"/>
                  <a:pt x="117984" y="18778"/>
                </a:cubicBezTo>
                <a:cubicBezTo>
                  <a:pt x="111067" y="13359"/>
                  <a:pt x="103251" y="9197"/>
                  <a:pt x="94894" y="6482"/>
                </a:cubicBezTo>
                <a:cubicBezTo>
                  <a:pt x="79812" y="1327"/>
                  <a:pt x="63447" y="1327"/>
                  <a:pt x="48365" y="6482"/>
                </a:cubicBezTo>
                <a:cubicBezTo>
                  <a:pt x="40013" y="9209"/>
                  <a:pt x="32200" y="13370"/>
                  <a:pt x="25275" y="18778"/>
                </a:cubicBezTo>
                <a:cubicBezTo>
                  <a:pt x="23277" y="20431"/>
                  <a:pt x="21895" y="22709"/>
                  <a:pt x="21349" y="25243"/>
                </a:cubicBezTo>
                <a:lnTo>
                  <a:pt x="2992" y="109063"/>
                </a:lnTo>
                <a:cubicBezTo>
                  <a:pt x="1347" y="115521"/>
                  <a:pt x="5249" y="122088"/>
                  <a:pt x="11706" y="123733"/>
                </a:cubicBezTo>
                <a:cubicBezTo>
                  <a:pt x="11860" y="123772"/>
                  <a:pt x="12015" y="123809"/>
                  <a:pt x="12171" y="123841"/>
                </a:cubicBezTo>
                <a:cubicBezTo>
                  <a:pt x="12804" y="123899"/>
                  <a:pt x="13442" y="123899"/>
                  <a:pt x="14076" y="123841"/>
                </a:cubicBezTo>
                <a:cubicBezTo>
                  <a:pt x="19596" y="123970"/>
                  <a:pt x="24435" y="120172"/>
                  <a:pt x="25621" y="114778"/>
                </a:cubicBezTo>
                <a:lnTo>
                  <a:pt x="42939" y="37251"/>
                </a:lnTo>
                <a:lnTo>
                  <a:pt x="42939" y="37251"/>
                </a:lnTo>
                <a:lnTo>
                  <a:pt x="42939" y="78237"/>
                </a:lnTo>
                <a:lnTo>
                  <a:pt x="25621" y="164250"/>
                </a:lnTo>
                <a:lnTo>
                  <a:pt x="42939" y="164250"/>
                </a:lnTo>
                <a:lnTo>
                  <a:pt x="42939" y="250206"/>
                </a:lnTo>
                <a:lnTo>
                  <a:pt x="66030" y="227115"/>
                </a:lnTo>
                <a:lnTo>
                  <a:pt x="66030" y="164250"/>
                </a:lnTo>
                <a:lnTo>
                  <a:pt x="77575" y="164250"/>
                </a:lnTo>
                <a:lnTo>
                  <a:pt x="77575" y="215570"/>
                </a:lnTo>
                <a:lnTo>
                  <a:pt x="100666" y="192479"/>
                </a:lnTo>
                <a:lnTo>
                  <a:pt x="100666" y="164250"/>
                </a:lnTo>
                <a:lnTo>
                  <a:pt x="117984" y="164250"/>
                </a:lnTo>
                <a:lnTo>
                  <a:pt x="100666" y="78295"/>
                </a:lnTo>
                <a:lnTo>
                  <a:pt x="100666" y="37886"/>
                </a:lnTo>
                <a:lnTo>
                  <a:pt x="100666" y="37886"/>
                </a:lnTo>
                <a:lnTo>
                  <a:pt x="117984" y="113277"/>
                </a:lnTo>
                <a:cubicBezTo>
                  <a:pt x="118495" y="119268"/>
                  <a:pt x="123518" y="123863"/>
                  <a:pt x="129530" y="123841"/>
                </a:cubicBezTo>
                <a:lnTo>
                  <a:pt x="129530" y="123841"/>
                </a:lnTo>
                <a:cubicBezTo>
                  <a:pt x="134921" y="123806"/>
                  <a:pt x="139570" y="120044"/>
                  <a:pt x="140729" y="114778"/>
                </a:cubicBezTo>
                <a:lnTo>
                  <a:pt x="141075" y="112296"/>
                </a:lnTo>
                <a:lnTo>
                  <a:pt x="157932" y="38232"/>
                </a:lnTo>
                <a:cubicBezTo>
                  <a:pt x="157932" y="38232"/>
                  <a:pt x="157932" y="38232"/>
                  <a:pt x="157932" y="38232"/>
                </a:cubicBezTo>
                <a:lnTo>
                  <a:pt x="157932" y="135040"/>
                </a:lnTo>
                <a:lnTo>
                  <a:pt x="170689" y="122225"/>
                </a:lnTo>
                <a:cubicBezTo>
                  <a:pt x="179702" y="113202"/>
                  <a:pt x="194322" y="113194"/>
                  <a:pt x="203345" y="122207"/>
                </a:cubicBezTo>
                <a:cubicBezTo>
                  <a:pt x="203351" y="122213"/>
                  <a:pt x="203357" y="122219"/>
                  <a:pt x="203363" y="122225"/>
                </a:cubicBezTo>
                <a:lnTo>
                  <a:pt x="216121" y="134521"/>
                </a:lnTo>
                <a:lnTo>
                  <a:pt x="216121" y="38290"/>
                </a:lnTo>
                <a:cubicBezTo>
                  <a:pt x="216121" y="38290"/>
                  <a:pt x="216121" y="38290"/>
                  <a:pt x="216121" y="38290"/>
                </a:cubicBezTo>
                <a:lnTo>
                  <a:pt x="233439" y="114836"/>
                </a:lnTo>
                <a:cubicBezTo>
                  <a:pt x="234648" y="120206"/>
                  <a:pt x="239481" y="123976"/>
                  <a:pt x="244984" y="123841"/>
                </a:cubicBezTo>
                <a:lnTo>
                  <a:pt x="244984" y="123841"/>
                </a:lnTo>
                <a:cubicBezTo>
                  <a:pt x="250397" y="123833"/>
                  <a:pt x="255077" y="120064"/>
                  <a:pt x="256241" y="114778"/>
                </a:cubicBezTo>
                <a:lnTo>
                  <a:pt x="273559" y="38232"/>
                </a:lnTo>
                <a:cubicBezTo>
                  <a:pt x="273559" y="38232"/>
                  <a:pt x="273559" y="38232"/>
                  <a:pt x="273559" y="38232"/>
                </a:cubicBezTo>
                <a:lnTo>
                  <a:pt x="273559" y="192364"/>
                </a:lnTo>
                <a:lnTo>
                  <a:pt x="273559" y="192364"/>
                </a:lnTo>
                <a:lnTo>
                  <a:pt x="296650" y="169273"/>
                </a:lnTo>
                <a:lnTo>
                  <a:pt x="296650" y="129614"/>
                </a:lnTo>
                <a:lnTo>
                  <a:pt x="308196" y="129614"/>
                </a:lnTo>
                <a:lnTo>
                  <a:pt x="308196" y="157958"/>
                </a:lnTo>
                <a:lnTo>
                  <a:pt x="331286" y="134867"/>
                </a:lnTo>
                <a:lnTo>
                  <a:pt x="331286" y="38290"/>
                </a:lnTo>
                <a:cubicBezTo>
                  <a:pt x="331286" y="38290"/>
                  <a:pt x="331286" y="38290"/>
                  <a:pt x="331286" y="38290"/>
                </a:cubicBezTo>
                <a:lnTo>
                  <a:pt x="349470" y="116452"/>
                </a:lnTo>
                <a:close/>
              </a:path>
            </a:pathLst>
          </a:custGeom>
          <a:grpFill/>
          <a:ln w="5755" cap="flat">
            <a:noFill/>
            <a:prstDash val="solid"/>
            <a:miter/>
          </a:ln>
        </xdr:spPr>
        <xdr:txBody>
          <a:bodyPr rtlCol="0" anchor="ctr"/>
          <a:lstStyle/>
          <a:p>
            <a:endParaRPr lang="en-US"/>
          </a:p>
        </xdr:txBody>
      </xdr:sp>
      <xdr:sp macro="" textlink="">
        <xdr:nvSpPr>
          <xdr:cNvPr id="95" name="Freeform: Shape 94">
            <a:extLst>
              <a:ext uri="{FF2B5EF4-FFF2-40B4-BE49-F238E27FC236}">
                <a16:creationId xmlns:a16="http://schemas.microsoft.com/office/drawing/2014/main" id="{EA30F52C-EEAB-4B34-B27B-5B8F7D0F3008}"/>
              </a:ext>
            </a:extLst>
          </xdr:cNvPr>
          <xdr:cNvSpPr/>
        </xdr:nvSpPr>
        <xdr:spPr>
          <a:xfrm>
            <a:off x="3948758" y="248498"/>
            <a:ext cx="57727" cy="57727"/>
          </a:xfrm>
          <a:custGeom>
            <a:avLst/>
            <a:gdLst>
              <a:gd name="connsiteX0" fmla="*/ 60343 w 57727"/>
              <a:gd name="connsiteY0" fmla="*/ 31479 h 57727"/>
              <a:gd name="connsiteX1" fmla="*/ 31479 w 57727"/>
              <a:gd name="connsiteY1" fmla="*/ 60343 h 57727"/>
              <a:gd name="connsiteX2" fmla="*/ 2616 w 57727"/>
              <a:gd name="connsiteY2" fmla="*/ 31479 h 57727"/>
              <a:gd name="connsiteX3" fmla="*/ 31479 w 57727"/>
              <a:gd name="connsiteY3" fmla="*/ 2616 h 57727"/>
              <a:gd name="connsiteX4" fmla="*/ 60343 w 57727"/>
              <a:gd name="connsiteY4" fmla="*/ 31479 h 5772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7727" h="57727">
                <a:moveTo>
                  <a:pt x="60343" y="31479"/>
                </a:moveTo>
                <a:cubicBezTo>
                  <a:pt x="60343" y="47420"/>
                  <a:pt x="47420" y="60343"/>
                  <a:pt x="31479" y="60343"/>
                </a:cubicBezTo>
                <a:cubicBezTo>
                  <a:pt x="15538" y="60343"/>
                  <a:pt x="2616" y="47420"/>
                  <a:pt x="2616" y="31479"/>
                </a:cubicBezTo>
                <a:cubicBezTo>
                  <a:pt x="2616" y="15538"/>
                  <a:pt x="15538" y="2616"/>
                  <a:pt x="31479" y="2616"/>
                </a:cubicBezTo>
                <a:cubicBezTo>
                  <a:pt x="47420" y="2616"/>
                  <a:pt x="60343" y="15538"/>
                  <a:pt x="60343" y="31479"/>
                </a:cubicBezTo>
                <a:close/>
              </a:path>
            </a:pathLst>
          </a:custGeom>
          <a:grpFill/>
          <a:ln w="5755" cap="flat">
            <a:noFill/>
            <a:prstDash val="solid"/>
            <a:miter/>
          </a:ln>
        </xdr:spPr>
        <xdr:txBody>
          <a:bodyPr rtlCol="0" anchor="ctr"/>
          <a:lstStyle/>
          <a:p>
            <a:endParaRPr lang="en-US"/>
          </a:p>
        </xdr:txBody>
      </xdr:sp>
      <xdr:sp macro="" textlink="">
        <xdr:nvSpPr>
          <xdr:cNvPr id="96" name="Freeform: Shape 95">
            <a:extLst>
              <a:ext uri="{FF2B5EF4-FFF2-40B4-BE49-F238E27FC236}">
                <a16:creationId xmlns:a16="http://schemas.microsoft.com/office/drawing/2014/main" id="{F73B13CF-9C0C-4F33-9E1F-9E4F0FC12B6D}"/>
              </a:ext>
            </a:extLst>
          </xdr:cNvPr>
          <xdr:cNvSpPr/>
        </xdr:nvSpPr>
        <xdr:spPr>
          <a:xfrm>
            <a:off x="3833130" y="248498"/>
            <a:ext cx="57727" cy="57727"/>
          </a:xfrm>
          <a:custGeom>
            <a:avLst/>
            <a:gdLst>
              <a:gd name="connsiteX0" fmla="*/ 60343 w 57727"/>
              <a:gd name="connsiteY0" fmla="*/ 31479 h 57727"/>
              <a:gd name="connsiteX1" fmla="*/ 31479 w 57727"/>
              <a:gd name="connsiteY1" fmla="*/ 60343 h 57727"/>
              <a:gd name="connsiteX2" fmla="*/ 2616 w 57727"/>
              <a:gd name="connsiteY2" fmla="*/ 31479 h 57727"/>
              <a:gd name="connsiteX3" fmla="*/ 31479 w 57727"/>
              <a:gd name="connsiteY3" fmla="*/ 2616 h 57727"/>
              <a:gd name="connsiteX4" fmla="*/ 60343 w 57727"/>
              <a:gd name="connsiteY4" fmla="*/ 31479 h 5772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7727" h="57727">
                <a:moveTo>
                  <a:pt x="60343" y="31479"/>
                </a:moveTo>
                <a:cubicBezTo>
                  <a:pt x="60343" y="47420"/>
                  <a:pt x="47420" y="60343"/>
                  <a:pt x="31479" y="60343"/>
                </a:cubicBezTo>
                <a:cubicBezTo>
                  <a:pt x="15538" y="60343"/>
                  <a:pt x="2616" y="47420"/>
                  <a:pt x="2616" y="31479"/>
                </a:cubicBezTo>
                <a:cubicBezTo>
                  <a:pt x="2616" y="15538"/>
                  <a:pt x="15538" y="2616"/>
                  <a:pt x="31479" y="2616"/>
                </a:cubicBezTo>
                <a:cubicBezTo>
                  <a:pt x="47420" y="2616"/>
                  <a:pt x="60343" y="15538"/>
                  <a:pt x="60343" y="31479"/>
                </a:cubicBezTo>
                <a:close/>
              </a:path>
            </a:pathLst>
          </a:custGeom>
          <a:grpFill/>
          <a:ln w="5755" cap="flat">
            <a:noFill/>
            <a:prstDash val="solid"/>
            <a:miter/>
          </a:ln>
        </xdr:spPr>
        <xdr:txBody>
          <a:bodyPr rtlCol="0" anchor="ctr"/>
          <a:lstStyle/>
          <a:p>
            <a:endParaRPr lang="en-US"/>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47624</xdr:rowOff>
    </xdr:from>
    <xdr:to>
      <xdr:col>2</xdr:col>
      <xdr:colOff>157162</xdr:colOff>
      <xdr:row>21</xdr:row>
      <xdr:rowOff>61913</xdr:rowOff>
    </xdr:to>
    <xdr:graphicFrame macro="">
      <xdr:nvGraphicFramePr>
        <xdr:cNvPr id="2" name="Chart 1">
          <a:extLst>
            <a:ext uri="{FF2B5EF4-FFF2-40B4-BE49-F238E27FC236}">
              <a16:creationId xmlns:a16="http://schemas.microsoft.com/office/drawing/2014/main" id="{BF8319EB-5E76-4A70-AFAE-C93F9D724A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628650</xdr:colOff>
      <xdr:row>23</xdr:row>
      <xdr:rowOff>61913</xdr:rowOff>
    </xdr:from>
    <xdr:to>
      <xdr:col>4</xdr:col>
      <xdr:colOff>1281113</xdr:colOff>
      <xdr:row>32</xdr:row>
      <xdr:rowOff>111917</xdr:rowOff>
    </xdr:to>
    <xdr:graphicFrame macro="">
      <xdr:nvGraphicFramePr>
        <xdr:cNvPr id="4" name="Chart 3">
          <a:extLst>
            <a:ext uri="{FF2B5EF4-FFF2-40B4-BE49-F238E27FC236}">
              <a16:creationId xmlns:a16="http://schemas.microsoft.com/office/drawing/2014/main" id="{326C851A-4555-4436-AA20-D44AC365BD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276226</xdr:colOff>
      <xdr:row>33</xdr:row>
      <xdr:rowOff>66673</xdr:rowOff>
    </xdr:from>
    <xdr:to>
      <xdr:col>10</xdr:col>
      <xdr:colOff>642937</xdr:colOff>
      <xdr:row>44</xdr:row>
      <xdr:rowOff>14286</xdr:rowOff>
    </xdr:to>
    <xdr:graphicFrame macro="">
      <xdr:nvGraphicFramePr>
        <xdr:cNvPr id="5" name="Chart 4">
          <a:extLst>
            <a:ext uri="{FF2B5EF4-FFF2-40B4-BE49-F238E27FC236}">
              <a16:creationId xmlns:a16="http://schemas.microsoft.com/office/drawing/2014/main" id="{808B573B-F882-4B9A-B98D-A3470D86E6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52386</xdr:colOff>
      <xdr:row>12</xdr:row>
      <xdr:rowOff>157163</xdr:rowOff>
    </xdr:from>
    <xdr:to>
      <xdr:col>11</xdr:col>
      <xdr:colOff>219073</xdr:colOff>
      <xdr:row>22</xdr:row>
      <xdr:rowOff>154781</xdr:rowOff>
    </xdr:to>
    <xdr:graphicFrame macro="">
      <xdr:nvGraphicFramePr>
        <xdr:cNvPr id="6" name="Chart 5">
          <a:extLst>
            <a:ext uri="{FF2B5EF4-FFF2-40B4-BE49-F238E27FC236}">
              <a16:creationId xmlns:a16="http://schemas.microsoft.com/office/drawing/2014/main" id="{C18F8880-7C10-4A80-BFFC-5D6AEB7CFB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533400</xdr:colOff>
      <xdr:row>15</xdr:row>
      <xdr:rowOff>19050</xdr:rowOff>
    </xdr:from>
    <xdr:to>
      <xdr:col>8</xdr:col>
      <xdr:colOff>271462</xdr:colOff>
      <xdr:row>32</xdr:row>
      <xdr:rowOff>133350</xdr:rowOff>
    </xdr:to>
    <mc:AlternateContent xmlns:mc="http://schemas.openxmlformats.org/markup-compatibility/2006" xmlns:a14="http://schemas.microsoft.com/office/drawing/2010/main">
      <mc:Choice Requires="a14">
        <xdr:graphicFrame macro="">
          <xdr:nvGraphicFramePr>
            <xdr:cNvPr id="7" name="Sales Person">
              <a:extLst>
                <a:ext uri="{FF2B5EF4-FFF2-40B4-BE49-F238E27FC236}">
                  <a16:creationId xmlns:a16="http://schemas.microsoft.com/office/drawing/2014/main" id="{9825B28B-9126-4813-BEDC-8E822194A3FD}"/>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6467475" y="2590800"/>
              <a:ext cx="2019300" cy="3028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85726</xdr:colOff>
      <xdr:row>22</xdr:row>
      <xdr:rowOff>85727</xdr:rowOff>
    </xdr:from>
    <xdr:to>
      <xdr:col>1</xdr:col>
      <xdr:colOff>933451</xdr:colOff>
      <xdr:row>26</xdr:row>
      <xdr:rowOff>138113</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A65946E-F630-40F0-98F9-51FB53DC851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726" y="3857627"/>
              <a:ext cx="1828800" cy="738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257175</xdr:colOff>
      <xdr:row>10</xdr:row>
      <xdr:rowOff>166686</xdr:rowOff>
    </xdr:from>
    <xdr:to>
      <xdr:col>4</xdr:col>
      <xdr:colOff>514350</xdr:colOff>
      <xdr:row>22</xdr:row>
      <xdr:rowOff>80963</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7C067095-C2E1-4E19-8A0A-9BB48EBEDDF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224213" y="1881186"/>
              <a:ext cx="1238250" cy="1971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BINI" refreshedDate="45996.880490856478" createdVersion="6" refreshedVersion="6" minRefreshableVersion="3" recordCount="48" xr:uid="{0E49402A-974A-4110-A6A5-7D4932556F97}">
  <cacheSource type="worksheet">
    <worksheetSource name="Table1"/>
  </cacheSource>
  <cacheFields count="9">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6">
        <s v="Tent"/>
        <s v="Blender"/>
        <s v="Action Figure"/>
        <s v="Novel"/>
        <s v="Sneakers"/>
        <s v="Moisturizer"/>
      </sharedItems>
    </cacheField>
    <cacheField name="Units Sold" numFmtId="0">
      <sharedItems containsSemiMixedTypes="0" containsString="0" containsNumber="1" containsInteger="1" minValue="51" maxValue="149"/>
    </cacheField>
    <cacheField name="Unit Price" numFmtId="164">
      <sharedItems containsSemiMixedTypes="0" containsString="0" containsNumber="1" containsInteger="1" minValue="600" maxValue="6000"/>
    </cacheField>
    <cacheField name="Cost of Goods" numFmtId="164">
      <sharedItems containsSemiMixedTypes="0" containsString="0" containsNumber="1" containsInteger="1" minValue="400" maxValue="4000"/>
    </cacheField>
    <cacheField name="Total Sales" numFmtId="164">
      <sharedItems containsSemiMixedTypes="0" containsString="0" containsNumber="1" containsInteger="1" minValue="34200" maxValue="876000"/>
    </cacheField>
    <cacheField name="Profit" numFmtId="164">
      <sharedItems containsSemiMixedTypes="0" containsString="0" containsNumber="1" containsInteger="1" minValue="11400" maxValue="292000"/>
    </cacheField>
  </cacheFields>
  <extLst>
    <ext xmlns:x14="http://schemas.microsoft.com/office/spreadsheetml/2009/9/main" uri="{725AE2AE-9491-48be-B2B4-4EB974FC3084}">
      <x14:pivotCacheDefinition pivotCacheId="814279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d v="2021-02-19T00:00:00"/>
    <x v="0"/>
    <x v="0"/>
    <x v="0"/>
    <n v="84"/>
    <n v="6000"/>
    <n v="4000"/>
    <n v="504000"/>
    <n v="168000"/>
  </r>
  <r>
    <d v="2021-09-07T00:00:00"/>
    <x v="1"/>
    <x v="1"/>
    <x v="1"/>
    <n v="128"/>
    <n v="3500"/>
    <n v="2500"/>
    <n v="448000"/>
    <n v="128000"/>
  </r>
  <r>
    <d v="2021-02-03T00:00:00"/>
    <x v="2"/>
    <x v="2"/>
    <x v="2"/>
    <n v="136"/>
    <n v="1200"/>
    <n v="800"/>
    <n v="163200"/>
    <n v="54400"/>
  </r>
  <r>
    <d v="2020-09-11T00:00:00"/>
    <x v="3"/>
    <x v="3"/>
    <x v="3"/>
    <n v="91"/>
    <n v="1000"/>
    <n v="700"/>
    <n v="91000"/>
    <n v="27300"/>
  </r>
  <r>
    <d v="2021-09-23T00:00:00"/>
    <x v="4"/>
    <x v="0"/>
    <x v="4"/>
    <n v="110"/>
    <n v="4000"/>
    <n v="3000"/>
    <n v="440000"/>
    <n v="110000"/>
  </r>
  <r>
    <d v="2020-10-01T00:00:00"/>
    <x v="5"/>
    <x v="1"/>
    <x v="2"/>
    <n v="51"/>
    <n v="1200"/>
    <n v="800"/>
    <n v="61200"/>
    <n v="20400"/>
  </r>
  <r>
    <d v="2021-08-05T00:00:00"/>
    <x v="6"/>
    <x v="3"/>
    <x v="3"/>
    <n v="78"/>
    <n v="1000"/>
    <n v="700"/>
    <n v="78000"/>
    <n v="23400"/>
  </r>
  <r>
    <d v="2020-11-06T00:00:00"/>
    <x v="7"/>
    <x v="2"/>
    <x v="0"/>
    <n v="146"/>
    <n v="6000"/>
    <n v="4000"/>
    <n v="876000"/>
    <n v="292000"/>
  </r>
  <r>
    <d v="2021-01-27T00:00:00"/>
    <x v="8"/>
    <x v="0"/>
    <x v="5"/>
    <n v="101"/>
    <n v="600"/>
    <n v="400"/>
    <n v="60600"/>
    <n v="20200"/>
  </r>
  <r>
    <d v="2021-09-03T00:00:00"/>
    <x v="9"/>
    <x v="2"/>
    <x v="0"/>
    <n v="52"/>
    <n v="6000"/>
    <n v="4000"/>
    <n v="312000"/>
    <n v="104000"/>
  </r>
  <r>
    <d v="2021-09-30T00:00:00"/>
    <x v="9"/>
    <x v="1"/>
    <x v="2"/>
    <n v="55"/>
    <n v="1200"/>
    <n v="800"/>
    <n v="66000"/>
    <n v="22000"/>
  </r>
  <r>
    <d v="2020-09-10T00:00:00"/>
    <x v="9"/>
    <x v="2"/>
    <x v="3"/>
    <n v="137"/>
    <n v="1000"/>
    <n v="700"/>
    <n v="137000"/>
    <n v="41100"/>
  </r>
  <r>
    <d v="2021-07-27T00:00:00"/>
    <x v="7"/>
    <x v="2"/>
    <x v="1"/>
    <n v="96"/>
    <n v="3500"/>
    <n v="2500"/>
    <n v="336000"/>
    <n v="96000"/>
  </r>
  <r>
    <d v="2020-10-09T00:00:00"/>
    <x v="8"/>
    <x v="1"/>
    <x v="4"/>
    <n v="52"/>
    <n v="4000"/>
    <n v="3000"/>
    <n v="208000"/>
    <n v="52000"/>
  </r>
  <r>
    <d v="2021-04-06T00:00:00"/>
    <x v="3"/>
    <x v="0"/>
    <x v="1"/>
    <n v="76"/>
    <n v="3500"/>
    <n v="2500"/>
    <n v="266000"/>
    <n v="76000"/>
  </r>
  <r>
    <d v="2021-06-15T00:00:00"/>
    <x v="1"/>
    <x v="3"/>
    <x v="4"/>
    <n v="145"/>
    <n v="4000"/>
    <n v="3000"/>
    <n v="580000"/>
    <n v="145000"/>
  </r>
  <r>
    <d v="2020-09-09T00:00:00"/>
    <x v="0"/>
    <x v="2"/>
    <x v="5"/>
    <n v="83"/>
    <n v="600"/>
    <n v="400"/>
    <n v="49800"/>
    <n v="16600"/>
  </r>
  <r>
    <d v="2021-08-13T00:00:00"/>
    <x v="4"/>
    <x v="2"/>
    <x v="3"/>
    <n v="91"/>
    <n v="1000"/>
    <n v="700"/>
    <n v="91000"/>
    <n v="27300"/>
  </r>
  <r>
    <d v="2021-04-07T00:00:00"/>
    <x v="2"/>
    <x v="3"/>
    <x v="4"/>
    <n v="144"/>
    <n v="4000"/>
    <n v="3000"/>
    <n v="576000"/>
    <n v="144000"/>
  </r>
  <r>
    <d v="2020-06-08T00:00:00"/>
    <x v="4"/>
    <x v="2"/>
    <x v="5"/>
    <n v="92"/>
    <n v="600"/>
    <n v="400"/>
    <n v="55200"/>
    <n v="18400"/>
  </r>
  <r>
    <d v="2021-12-21T00:00:00"/>
    <x v="7"/>
    <x v="0"/>
    <x v="0"/>
    <n v="71"/>
    <n v="6000"/>
    <n v="4000"/>
    <n v="426000"/>
    <n v="142000"/>
  </r>
  <r>
    <d v="2021-08-10T00:00:00"/>
    <x v="0"/>
    <x v="1"/>
    <x v="5"/>
    <n v="103"/>
    <n v="600"/>
    <n v="400"/>
    <n v="61800"/>
    <n v="20600"/>
  </r>
  <r>
    <d v="2021-12-02T00:00:00"/>
    <x v="9"/>
    <x v="3"/>
    <x v="3"/>
    <n v="55"/>
    <n v="1000"/>
    <n v="700"/>
    <n v="55000"/>
    <n v="16500"/>
  </r>
  <r>
    <d v="2021-08-30T00:00:00"/>
    <x v="5"/>
    <x v="1"/>
    <x v="4"/>
    <n v="93"/>
    <n v="4000"/>
    <n v="3000"/>
    <n v="372000"/>
    <n v="93000"/>
  </r>
  <r>
    <d v="2020-05-20T00:00:00"/>
    <x v="2"/>
    <x v="2"/>
    <x v="5"/>
    <n v="143"/>
    <n v="600"/>
    <n v="400"/>
    <n v="85800"/>
    <n v="28600"/>
  </r>
  <r>
    <d v="2021-09-13T00:00:00"/>
    <x v="6"/>
    <x v="0"/>
    <x v="1"/>
    <n v="143"/>
    <n v="3500"/>
    <n v="2500"/>
    <n v="500500"/>
    <n v="143000"/>
  </r>
  <r>
    <d v="2021-10-27T00:00:00"/>
    <x v="8"/>
    <x v="3"/>
    <x v="5"/>
    <n v="99"/>
    <n v="600"/>
    <n v="400"/>
    <n v="59400"/>
    <n v="19800"/>
  </r>
  <r>
    <d v="2020-12-22T00:00:00"/>
    <x v="3"/>
    <x v="0"/>
    <x v="3"/>
    <n v="120"/>
    <n v="1000"/>
    <n v="700"/>
    <n v="120000"/>
    <n v="36000"/>
  </r>
  <r>
    <d v="2021-07-28T00:00:00"/>
    <x v="1"/>
    <x v="2"/>
    <x v="1"/>
    <n v="66"/>
    <n v="3500"/>
    <n v="2500"/>
    <n v="231000"/>
    <n v="66000"/>
  </r>
  <r>
    <d v="2020-09-29T00:00:00"/>
    <x v="8"/>
    <x v="3"/>
    <x v="2"/>
    <n v="88"/>
    <n v="1200"/>
    <n v="800"/>
    <n v="105600"/>
    <n v="35200"/>
  </r>
  <r>
    <d v="2020-05-19T00:00:00"/>
    <x v="4"/>
    <x v="0"/>
    <x v="4"/>
    <n v="67"/>
    <n v="4000"/>
    <n v="3000"/>
    <n v="268000"/>
    <n v="67000"/>
  </r>
  <r>
    <d v="2021-12-06T00:00:00"/>
    <x v="1"/>
    <x v="1"/>
    <x v="2"/>
    <n v="67"/>
    <n v="1200"/>
    <n v="800"/>
    <n v="80400"/>
    <n v="26800"/>
  </r>
  <r>
    <d v="2020-08-26T00:00:00"/>
    <x v="9"/>
    <x v="2"/>
    <x v="3"/>
    <n v="149"/>
    <n v="1000"/>
    <n v="700"/>
    <n v="149000"/>
    <n v="44700"/>
  </r>
  <r>
    <d v="2021-07-01T00:00:00"/>
    <x v="4"/>
    <x v="3"/>
    <x v="5"/>
    <n v="104"/>
    <n v="600"/>
    <n v="400"/>
    <n v="62400"/>
    <n v="20800"/>
  </r>
  <r>
    <d v="2021-07-27T00:00:00"/>
    <x v="7"/>
    <x v="0"/>
    <x v="5"/>
    <n v="57"/>
    <n v="600"/>
    <n v="400"/>
    <n v="34200"/>
    <n v="11400"/>
  </r>
  <r>
    <d v="2020-10-05T00:00:00"/>
    <x v="2"/>
    <x v="1"/>
    <x v="5"/>
    <n v="90"/>
    <n v="600"/>
    <n v="400"/>
    <n v="54000"/>
    <n v="18000"/>
  </r>
  <r>
    <d v="2020-09-02T00:00:00"/>
    <x v="5"/>
    <x v="2"/>
    <x v="5"/>
    <n v="67"/>
    <n v="600"/>
    <n v="400"/>
    <n v="40200"/>
    <n v="13400"/>
  </r>
  <r>
    <d v="2021-09-02T00:00:00"/>
    <x v="0"/>
    <x v="3"/>
    <x v="4"/>
    <n v="127"/>
    <n v="4000"/>
    <n v="3000"/>
    <n v="508000"/>
    <n v="127000"/>
  </r>
  <r>
    <d v="2021-04-13T00:00:00"/>
    <x v="5"/>
    <x v="0"/>
    <x v="3"/>
    <n v="108"/>
    <n v="1000"/>
    <n v="700"/>
    <n v="108000"/>
    <n v="32400"/>
  </r>
  <r>
    <d v="2021-05-06T00:00:00"/>
    <x v="2"/>
    <x v="1"/>
    <x v="1"/>
    <n v="66"/>
    <n v="3500"/>
    <n v="2500"/>
    <n v="231000"/>
    <n v="66000"/>
  </r>
  <r>
    <d v="2021-01-15T00:00:00"/>
    <x v="0"/>
    <x v="3"/>
    <x v="0"/>
    <n v="78"/>
    <n v="6000"/>
    <n v="4000"/>
    <n v="468000"/>
    <n v="156000"/>
  </r>
  <r>
    <d v="2020-08-27T00:00:00"/>
    <x v="7"/>
    <x v="2"/>
    <x v="3"/>
    <n v="69"/>
    <n v="1000"/>
    <n v="700"/>
    <n v="69000"/>
    <n v="20700"/>
  </r>
  <r>
    <d v="2021-02-05T00:00:00"/>
    <x v="4"/>
    <x v="0"/>
    <x v="2"/>
    <n v="59"/>
    <n v="1200"/>
    <n v="800"/>
    <n v="70800"/>
    <n v="23600"/>
  </r>
  <r>
    <d v="2021-11-17T00:00:00"/>
    <x v="9"/>
    <x v="2"/>
    <x v="5"/>
    <n v="109"/>
    <n v="600"/>
    <n v="400"/>
    <n v="65400"/>
    <n v="21800"/>
  </r>
  <r>
    <d v="2020-12-28T00:00:00"/>
    <x v="8"/>
    <x v="1"/>
    <x v="4"/>
    <n v="61"/>
    <n v="4000"/>
    <n v="3000"/>
    <n v="244000"/>
    <n v="61000"/>
  </r>
  <r>
    <d v="2021-10-27T00:00:00"/>
    <x v="4"/>
    <x v="3"/>
    <x v="5"/>
    <n v="130"/>
    <n v="600"/>
    <n v="400"/>
    <n v="78000"/>
    <n v="26000"/>
  </r>
  <r>
    <d v="2021-11-02T00:00:00"/>
    <x v="3"/>
    <x v="2"/>
    <x v="1"/>
    <n v="60"/>
    <n v="3500"/>
    <n v="2500"/>
    <n v="210000"/>
    <n v="60000"/>
  </r>
  <r>
    <d v="2020-05-07T00:00:00"/>
    <x v="1"/>
    <x v="1"/>
    <x v="0"/>
    <n v="73"/>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F96C38-D75F-4FF7-9141-EE7FC587FCED}"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J3:K10"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7">
        <item x="2"/>
        <item x="1"/>
        <item x="5"/>
        <item x="3"/>
        <item x="4"/>
        <item x="0"/>
        <item t="default"/>
      </items>
    </pivotField>
    <pivotField dataField="1" showAll="0"/>
    <pivotField numFmtId="164" showAll="0"/>
    <pivotField numFmtId="164" showAll="0"/>
    <pivotField numFmtId="164" showAll="0"/>
    <pivotField numFmtId="164" showAll="0"/>
  </pivotFields>
  <rowFields count="1">
    <field x="3"/>
  </rowFields>
  <rowItems count="7">
    <i>
      <x/>
    </i>
    <i>
      <x v="1"/>
    </i>
    <i>
      <x v="2"/>
    </i>
    <i>
      <x v="3"/>
    </i>
    <i>
      <x v="4"/>
    </i>
    <i>
      <x v="5"/>
    </i>
    <i t="grand">
      <x/>
    </i>
  </rowItems>
  <colItems count="1">
    <i/>
  </colItems>
  <dataFields count="1">
    <dataField name="Sum of Units Sold" fld="4"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968083-CCBD-4578-8390-8B345EB0FF61}"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G3:H14" firstHeaderRow="1" firstDataRow="1" firstDataCol="1"/>
  <pivotFields count="9">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7">
        <item x="2"/>
        <item x="1"/>
        <item x="5"/>
        <item x="3"/>
        <item x="4"/>
        <item x="0"/>
        <item t="default"/>
      </items>
    </pivotField>
    <pivotField showAll="0"/>
    <pivotField numFmtId="164" showAll="0"/>
    <pivotField numFmtId="164"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Total Sales" fld="7" baseField="1" baseItem="0" numFmtId="165"/>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ACDB1A-76BE-41F7-8820-9639A1C9BEEF}"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7">
  <location ref="D3:E10"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7">
        <item x="2"/>
        <item x="1"/>
        <item x="5"/>
        <item x="3"/>
        <item x="4"/>
        <item x="0"/>
        <item t="default"/>
      </items>
    </pivotField>
    <pivotField showAll="0"/>
    <pivotField numFmtId="164" showAll="0"/>
    <pivotField numFmtId="164" showAll="0"/>
    <pivotField dataField="1" numFmtId="164" showAll="0"/>
    <pivotField numFmtId="164" showAll="0"/>
  </pivotFields>
  <rowFields count="1">
    <field x="3"/>
  </rowFields>
  <rowItems count="7">
    <i>
      <x/>
    </i>
    <i>
      <x v="1"/>
    </i>
    <i>
      <x v="2"/>
    </i>
    <i>
      <x v="3"/>
    </i>
    <i>
      <x v="4"/>
    </i>
    <i>
      <x v="5"/>
    </i>
    <i t="grand">
      <x/>
    </i>
  </rowItems>
  <colItems count="1">
    <i/>
  </colItems>
  <dataFields count="1">
    <dataField name="Sum of Total Sales" fld="7" baseField="3" baseItem="0" numFmtId="166"/>
  </dataFields>
  <chartFormats count="2">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16D028-3C65-4F39-B604-4F15D0EF73CA}"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9">
    <pivotField numFmtId="14"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7">
        <item x="2"/>
        <item x="1"/>
        <item x="5"/>
        <item x="3"/>
        <item x="4"/>
        <item x="0"/>
        <item t="default"/>
      </items>
    </pivotField>
    <pivotField showAll="0"/>
    <pivotField numFmtId="164" showAll="0"/>
    <pivotField numFmtId="164" showAll="0"/>
    <pivotField dataField="1" numFmtId="164" showAll="0"/>
    <pivotField numFmtId="164" showAll="0"/>
  </pivotFields>
  <rowFields count="1">
    <field x="2"/>
  </rowFields>
  <rowItems count="5">
    <i>
      <x/>
    </i>
    <i>
      <x v="1"/>
    </i>
    <i>
      <x v="2"/>
    </i>
    <i>
      <x v="3"/>
    </i>
    <i t="grand">
      <x/>
    </i>
  </rowItems>
  <colItems count="1">
    <i/>
  </colItems>
  <dataFields count="1">
    <dataField name="Sum of Total Sales" fld="7" baseField="2" baseItem="0" numFmtId="165"/>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8513F757-F320-4A5C-AB9C-AE18E9D9E06F}" sourceName="Sales Person">
  <pivotTables>
    <pivotTable tabId="4" name="PivotTable1"/>
    <pivotTable tabId="4" name="PivotTable2"/>
    <pivotTable tabId="4" name="PivotTable3"/>
    <pivotTable tabId="4" name="PivotTable4"/>
  </pivotTables>
  <data>
    <tabular pivotCacheId="81427989">
      <items count="10">
        <i x="0" s="1"/>
        <i x="8" s="1"/>
        <i x="3" s="1"/>
        <i x="5" s="1"/>
        <i x="7" s="1"/>
        <i x="2" s="1"/>
        <i x="1" s="1"/>
        <i x="4"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1DFE0D6-AF57-47E5-81E3-D8CE4AEC310C}" sourceName="Region">
  <pivotTables>
    <pivotTable tabId="4" name="PivotTable1"/>
    <pivotTable tabId="4" name="PivotTable2"/>
    <pivotTable tabId="4" name="PivotTable3"/>
    <pivotTable tabId="4" name="PivotTable4"/>
  </pivotTables>
  <data>
    <tabular pivotCacheId="81427989">
      <items count="4">
        <i x="1" s="1"/>
        <i x="3"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B00537A-F994-47C3-A3E9-3AD2ACFF0247}" sourceName="Product">
  <pivotTables>
    <pivotTable tabId="4" name="PivotTable1"/>
    <pivotTable tabId="4" name="PivotTable2"/>
    <pivotTable tabId="4" name="PivotTable3"/>
    <pivotTable tabId="4" name="PivotTable4"/>
  </pivotTables>
  <data>
    <tabular pivotCacheId="81427989">
      <items count="6">
        <i x="2" s="1"/>
        <i x="1" s="1"/>
        <i x="5" s="1"/>
        <i x="3"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52C4787D-5FC1-4901-A027-649189D903A5}" cache="Slicer_Sales_Person" caption="Sales Person" style="SlicerStyleDark4 2" rowHeight="320040"/>
  <slicer name="Region 1" xr10:uid="{88551146-2B15-4B54-A78D-D90CC4315BF7}" cache="Slicer_Region" caption="Region" columnCount="2" style="SlicerStyleDark4 2" rowHeight="233363"/>
  <slicer name="Product 1" xr10:uid="{6AD41618-CCC9-4ECB-80FD-FBD8F0C73530}" cache="Slicer_Product" caption="Product" style="SlicerStyleDark4 2" rowHeight="23336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943BC5A0-F32D-42C1-85C4-8FA7049E2E99}" cache="Slicer_Sales_Person" caption="Sales Person" style="SlicerStyleDark4 2" rowHeight="233363"/>
  <slicer name="Region" xr10:uid="{4B5D0C78-7D97-4157-8BF5-2EA8C54A5B15}" cache="Slicer_Region" caption="Region" columnCount="2" showCaption="0" style="SlicerStyleDark4 2" rowHeight="233363"/>
  <slicer name="Product" xr10:uid="{F6F6C205-72EC-4B80-92C6-7FE23C893D7D}" cache="Slicer_Product" caption="Product" style="SlicerStyleDark4 2" rowHeight="23336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ADB4F6-FE84-4302-96E9-FABB2C8B1179}" name="Table1" displayName="Table1" ref="A1:I49" totalsRowShown="0" headerRowDxfId="7" dataDxfId="6" dataCellStyle="Currency [0]">
  <autoFilter ref="A1:I49" xr:uid="{CD3C9C40-30F6-4038-AF2C-B47E3E04A79B}"/>
  <tableColumns count="9">
    <tableColumn id="1" xr3:uid="{F7FE6210-A95C-454E-BD4C-A6B64D9E2AC3}" name="Date" dataDxfId="5"/>
    <tableColumn id="2" xr3:uid="{3B32AB9C-9B1E-4BBC-87D1-3F84E071CD3D}" name="Sales Person"/>
    <tableColumn id="3" xr3:uid="{1B3C96B3-56D7-44E7-9330-C1C9AC66534E}" name="Region"/>
    <tableColumn id="4" xr3:uid="{F5452F6D-7310-4A60-8D4F-1316D1687447}" name="Product"/>
    <tableColumn id="5" xr3:uid="{E0EA6A54-4BFA-4A2B-95E0-76A63982F408}" name="Units Sold" dataDxfId="4"/>
    <tableColumn id="6" xr3:uid="{7787A8C4-F85A-4ED0-829D-97FFB0CBA47B}" name="Unit Price" dataDxfId="3" dataCellStyle="Currency [0]">
      <calculatedColumnFormula>IF(D2="Tent",6000,IF(D2="Blender",3500,IF(D2="Action Figure",1200,IF(D2="Novel",1000,IF(D2="Sneakers",4000,IF(D2="Smartphone",10000,IF(D2="moisturizer",600,"No Product Found")))))))</calculatedColumnFormula>
    </tableColumn>
    <tableColumn id="7" xr3:uid="{4526592C-4BEA-4E86-88FA-890D5C2A53AC}" name="Cost of Goods" dataDxfId="2" dataCellStyle="Currency [0]">
      <calculatedColumnFormula>IF(D2="Tent",4000,IF(D2="Blender",2500,IF(D2="Action Figure",800,IF(D2="Novel",700,IF(D2="Sneakers",3000,IF(D2="Smartphone",7000,IF(D2="moisturizer",400,"No Product Found")))))))</calculatedColumnFormula>
    </tableColumn>
    <tableColumn id="8" xr3:uid="{C5D402F3-DA5F-4F34-B5A5-F5BC548A5109}" name="Total Sales" dataDxfId="1" dataCellStyle="Currency [0]">
      <calculatedColumnFormula>F2*E2</calculatedColumnFormula>
    </tableColumn>
    <tableColumn id="9" xr3:uid="{DC65FE91-EF55-4973-85D9-19795774E53E}" name="Profit" dataDxfId="0" dataCellStyle="Currency [0]">
      <calculatedColumnFormula>H2-G2*E2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1EABC-6227-49CE-8D5F-32FA8D934E4D}">
  <dimension ref="A1"/>
  <sheetViews>
    <sheetView showGridLines="0" showRowColHeaders="0" zoomScale="55" zoomScaleNormal="100" workbookViewId="0">
      <selection activeCell="X11" sqref="X11"/>
    </sheetView>
  </sheetViews>
  <sheetFormatPr defaultRowHeight="1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D3F88-21FE-407E-A056-ECC5B1D3885E}">
  <dimension ref="A1:K14"/>
  <sheetViews>
    <sheetView tabSelected="1" workbookViewId="0">
      <selection activeCell="F5" sqref="F5"/>
    </sheetView>
  </sheetViews>
  <sheetFormatPr defaultRowHeight="13.5"/>
  <cols>
    <col min="1" max="1" width="12.875" bestFit="1" customWidth="1"/>
    <col min="2" max="2" width="17.0625" bestFit="1" customWidth="1"/>
    <col min="4" max="4" width="12.875" bestFit="1" customWidth="1"/>
    <col min="5" max="5" width="17.0625" bestFit="1" customWidth="1"/>
    <col min="7" max="7" width="12.875" bestFit="1" customWidth="1"/>
    <col min="8" max="8" width="17.0625" bestFit="1" customWidth="1"/>
    <col min="10" max="10" width="12.875" bestFit="1" customWidth="1"/>
    <col min="11" max="12" width="16.4375" bestFit="1" customWidth="1"/>
  </cols>
  <sheetData>
    <row r="1" spans="1:11" ht="13.9">
      <c r="A1" s="11" t="s">
        <v>37</v>
      </c>
      <c r="D1" s="11" t="s">
        <v>38</v>
      </c>
      <c r="G1" s="11" t="s">
        <v>39</v>
      </c>
      <c r="J1" s="11" t="s">
        <v>36</v>
      </c>
    </row>
    <row r="3" spans="1:11">
      <c r="A3" s="6" t="s">
        <v>33</v>
      </c>
      <c r="B3" t="s">
        <v>34</v>
      </c>
      <c r="D3" s="6" t="s">
        <v>33</v>
      </c>
      <c r="E3" t="s">
        <v>34</v>
      </c>
      <c r="G3" s="6" t="s">
        <v>33</v>
      </c>
      <c r="H3" t="s">
        <v>34</v>
      </c>
      <c r="J3" s="6" t="s">
        <v>33</v>
      </c>
      <c r="K3" t="s">
        <v>35</v>
      </c>
    </row>
    <row r="4" spans="1:11">
      <c r="A4" s="3" t="s">
        <v>12</v>
      </c>
      <c r="B4" s="8">
        <v>2264400</v>
      </c>
      <c r="D4" s="3" t="s">
        <v>16</v>
      </c>
      <c r="E4" s="9">
        <v>547200</v>
      </c>
      <c r="G4" s="3" t="s">
        <v>8</v>
      </c>
      <c r="H4" s="8">
        <v>1591600</v>
      </c>
      <c r="J4" s="3" t="s">
        <v>16</v>
      </c>
      <c r="K4" s="7">
        <v>456</v>
      </c>
    </row>
    <row r="5" spans="1:11">
      <c r="A5" s="3" t="s">
        <v>18</v>
      </c>
      <c r="B5" s="8">
        <v>2661400</v>
      </c>
      <c r="D5" s="3" t="s">
        <v>13</v>
      </c>
      <c r="E5" s="9">
        <v>2222500</v>
      </c>
      <c r="G5" s="3" t="s">
        <v>25</v>
      </c>
      <c r="H5" s="8">
        <v>677600</v>
      </c>
      <c r="J5" s="3" t="s">
        <v>13</v>
      </c>
      <c r="K5" s="7">
        <v>635</v>
      </c>
    </row>
    <row r="6" spans="1:11">
      <c r="A6" s="3" t="s">
        <v>15</v>
      </c>
      <c r="B6" s="8">
        <v>2870600</v>
      </c>
      <c r="D6" s="3" t="s">
        <v>26</v>
      </c>
      <c r="E6" s="9">
        <v>706800</v>
      </c>
      <c r="G6" s="3" t="s">
        <v>17</v>
      </c>
      <c r="H6" s="8">
        <v>687000</v>
      </c>
      <c r="J6" s="3" t="s">
        <v>26</v>
      </c>
      <c r="K6" s="7">
        <v>1178</v>
      </c>
    </row>
    <row r="7" spans="1:11">
      <c r="A7" s="3" t="s">
        <v>9</v>
      </c>
      <c r="B7" s="8">
        <v>2798100</v>
      </c>
      <c r="D7" s="3" t="s">
        <v>19</v>
      </c>
      <c r="E7" s="9">
        <v>898000</v>
      </c>
      <c r="G7" s="3" t="s">
        <v>22</v>
      </c>
      <c r="H7" s="8">
        <v>581400</v>
      </c>
      <c r="J7" s="3" t="s">
        <v>19</v>
      </c>
      <c r="K7" s="7">
        <v>898</v>
      </c>
    </row>
    <row r="8" spans="1:11">
      <c r="A8" s="3" t="s">
        <v>29</v>
      </c>
      <c r="B8" s="8">
        <v>10594500</v>
      </c>
      <c r="D8" s="3" t="s">
        <v>21</v>
      </c>
      <c r="E8" s="9">
        <v>3196000</v>
      </c>
      <c r="G8" s="3" t="s">
        <v>24</v>
      </c>
      <c r="H8" s="8">
        <v>1741200</v>
      </c>
      <c r="J8" s="3" t="s">
        <v>21</v>
      </c>
      <c r="K8" s="7">
        <v>799</v>
      </c>
    </row>
    <row r="9" spans="1:11">
      <c r="D9" s="3" t="s">
        <v>10</v>
      </c>
      <c r="E9" s="9">
        <v>3024000</v>
      </c>
      <c r="G9" s="3" t="s">
        <v>14</v>
      </c>
      <c r="H9" s="8">
        <v>1110000</v>
      </c>
      <c r="J9" s="3" t="s">
        <v>10</v>
      </c>
      <c r="K9" s="7">
        <v>504</v>
      </c>
    </row>
    <row r="10" spans="1:11">
      <c r="D10" s="3" t="s">
        <v>29</v>
      </c>
      <c r="E10" s="9">
        <v>10594500</v>
      </c>
      <c r="G10" s="3" t="s">
        <v>11</v>
      </c>
      <c r="H10" s="8">
        <v>1777400</v>
      </c>
      <c r="J10" s="3" t="s">
        <v>29</v>
      </c>
      <c r="K10" s="7">
        <v>4470</v>
      </c>
    </row>
    <row r="11" spans="1:11">
      <c r="G11" s="3" t="s">
        <v>20</v>
      </c>
      <c r="H11" s="8">
        <v>1065400</v>
      </c>
    </row>
    <row r="12" spans="1:11">
      <c r="G12" s="3" t="s">
        <v>27</v>
      </c>
      <c r="H12" s="8">
        <v>784400</v>
      </c>
    </row>
    <row r="13" spans="1:11">
      <c r="G13" s="3" t="s">
        <v>23</v>
      </c>
      <c r="H13" s="8">
        <v>578500</v>
      </c>
    </row>
    <row r="14" spans="1:11">
      <c r="G14" s="3" t="s">
        <v>29</v>
      </c>
      <c r="H14" s="8">
        <v>10594500</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B3DF-9E1D-4E87-B39C-21F41FB7A8AD}">
  <dimension ref="A1:K49"/>
  <sheetViews>
    <sheetView workbookViewId="0">
      <selection activeCell="K6" sqref="K6"/>
    </sheetView>
  </sheetViews>
  <sheetFormatPr defaultRowHeight="13.5"/>
  <cols>
    <col min="1" max="1" width="12.875" customWidth="1"/>
    <col min="2" max="2" width="13.25" customWidth="1"/>
    <col min="4" max="4" width="15.625" customWidth="1"/>
    <col min="5" max="5" width="10.75" customWidth="1"/>
    <col min="6" max="6" width="10.375" customWidth="1"/>
    <col min="7" max="7" width="14.0625" customWidth="1"/>
    <col min="8" max="10" width="13.5625" customWidth="1"/>
    <col min="11" max="11" width="14.5" bestFit="1" customWidth="1"/>
    <col min="12" max="12" width="14.25" customWidth="1"/>
  </cols>
  <sheetData>
    <row r="1" spans="1:11" ht="20.2" customHeight="1" thickBot="1">
      <c r="A1" s="1" t="s">
        <v>0</v>
      </c>
      <c r="B1" s="1" t="s">
        <v>1</v>
      </c>
      <c r="C1" s="1" t="s">
        <v>2</v>
      </c>
      <c r="D1" s="1" t="s">
        <v>3</v>
      </c>
      <c r="E1" s="1" t="s">
        <v>4</v>
      </c>
      <c r="F1" s="1" t="s">
        <v>5</v>
      </c>
      <c r="G1" s="1" t="s">
        <v>6</v>
      </c>
      <c r="H1" s="1" t="s">
        <v>7</v>
      </c>
      <c r="I1" s="5" t="s">
        <v>28</v>
      </c>
      <c r="K1" s="5" t="s">
        <v>29</v>
      </c>
    </row>
    <row r="2" spans="1:11" ht="13.9" thickTop="1">
      <c r="A2" s="2">
        <v>44246</v>
      </c>
      <c r="B2" t="s">
        <v>8</v>
      </c>
      <c r="C2" t="s">
        <v>9</v>
      </c>
      <c r="D2" t="s">
        <v>10</v>
      </c>
      <c r="E2" s="3">
        <v>84</v>
      </c>
      <c r="F2" s="4">
        <f>IF(D2="Tent",6000,IF(D2="Blender",3500,IF(D2="Action Figure",1200,IF(D2="Novel",1000,IF(D2="Sneakers",4000,IF(D2="Smartphone",10000,IF(D2="moisturizer",600,"No Product Found")))))))</f>
        <v>6000</v>
      </c>
      <c r="G2" s="4">
        <f>IF(D2="Tent",4000,IF(D2="Blender",2500,IF(D2="Action Figure",800,IF(D2="Novel",700,IF(D2="Sneakers",3000,IF(D2="Smartphone",7000,IF(D2="moisturizer",400,"No Product Found")))))))</f>
        <v>4000</v>
      </c>
      <c r="H2" s="4">
        <f t="shared" ref="H2:H49" si="0">F2*E2</f>
        <v>504000</v>
      </c>
      <c r="I2" s="4">
        <f>H2-G2*E2</f>
        <v>168000</v>
      </c>
      <c r="K2" s="10">
        <f>SUM(H2:H49)</f>
        <v>10594500</v>
      </c>
    </row>
    <row r="3" spans="1:11">
      <c r="A3" s="2">
        <v>44446</v>
      </c>
      <c r="B3" t="s">
        <v>11</v>
      </c>
      <c r="C3" t="s">
        <v>12</v>
      </c>
      <c r="D3" t="s">
        <v>13</v>
      </c>
      <c r="E3" s="3">
        <v>128</v>
      </c>
      <c r="F3" s="4">
        <f t="shared" ref="F3:F49" si="1">IF(D3="Tent",6000,IF(D3="Blender",3500,IF(D3="Action Figure",1200,IF(D3="Novel",1000,IF(D3="Sneakers",4000,IF(D3="Smartphone",10000,IF(D3="moisturizer",600,"No Product Found")))))))</f>
        <v>3500</v>
      </c>
      <c r="G3" s="4">
        <f t="shared" ref="G3:G49" si="2">IF(D3="Tent",4000,IF(D3="Blender",2500,IF(D3="Action Figure",800,IF(D3="Novel",700,IF(D3="Sneakers",3000,IF(D3="Smartphone",7000,IF(D3="moisturizer",400,"No Product Found")))))))</f>
        <v>2500</v>
      </c>
      <c r="H3" s="4">
        <f t="shared" si="0"/>
        <v>448000</v>
      </c>
      <c r="I3" s="4">
        <f t="shared" ref="I3:I49" si="3">H3-G3*E3</f>
        <v>128000</v>
      </c>
      <c r="K3" s="5" t="s">
        <v>30</v>
      </c>
    </row>
    <row r="4" spans="1:11">
      <c r="A4" s="2">
        <v>44230</v>
      </c>
      <c r="B4" t="s">
        <v>14</v>
      </c>
      <c r="C4" t="s">
        <v>15</v>
      </c>
      <c r="D4" t="s">
        <v>16</v>
      </c>
      <c r="E4" s="3">
        <v>136</v>
      </c>
      <c r="F4" s="4">
        <f t="shared" si="1"/>
        <v>1200</v>
      </c>
      <c r="G4" s="4">
        <f t="shared" si="2"/>
        <v>800</v>
      </c>
      <c r="H4" s="4">
        <f t="shared" si="0"/>
        <v>163200</v>
      </c>
      <c r="I4" s="4">
        <f t="shared" si="3"/>
        <v>54400</v>
      </c>
      <c r="K4">
        <f>SUM(E2:E49)</f>
        <v>4470</v>
      </c>
    </row>
    <row r="5" spans="1:11">
      <c r="A5" s="2">
        <v>44085</v>
      </c>
      <c r="B5" t="s">
        <v>17</v>
      </c>
      <c r="C5" t="s">
        <v>18</v>
      </c>
      <c r="D5" t="s">
        <v>19</v>
      </c>
      <c r="E5" s="3">
        <v>91</v>
      </c>
      <c r="F5" s="4">
        <f t="shared" si="1"/>
        <v>1000</v>
      </c>
      <c r="G5" s="4">
        <f t="shared" si="2"/>
        <v>700</v>
      </c>
      <c r="H5" s="4">
        <f t="shared" si="0"/>
        <v>91000</v>
      </c>
      <c r="I5" s="4">
        <f t="shared" si="3"/>
        <v>27300</v>
      </c>
      <c r="K5" s="5" t="s">
        <v>31</v>
      </c>
    </row>
    <row r="6" spans="1:11">
      <c r="A6" s="2">
        <v>44462</v>
      </c>
      <c r="B6" t="s">
        <v>20</v>
      </c>
      <c r="C6" t="s">
        <v>9</v>
      </c>
      <c r="D6" t="s">
        <v>21</v>
      </c>
      <c r="E6" s="3">
        <v>110</v>
      </c>
      <c r="F6" s="4">
        <f t="shared" si="1"/>
        <v>4000</v>
      </c>
      <c r="G6" s="4">
        <f t="shared" si="2"/>
        <v>3000</v>
      </c>
      <c r="H6" s="4">
        <f t="shared" si="0"/>
        <v>440000</v>
      </c>
      <c r="I6" s="4">
        <f t="shared" si="3"/>
        <v>110000</v>
      </c>
      <c r="K6" s="10">
        <f>SUM(I2:I49)</f>
        <v>3129400</v>
      </c>
    </row>
    <row r="7" spans="1:11">
      <c r="A7" s="2">
        <v>44105</v>
      </c>
      <c r="B7" t="s">
        <v>22</v>
      </c>
      <c r="C7" t="s">
        <v>12</v>
      </c>
      <c r="D7" t="s">
        <v>16</v>
      </c>
      <c r="E7" s="3">
        <v>51</v>
      </c>
      <c r="F7" s="4">
        <f t="shared" si="1"/>
        <v>1200</v>
      </c>
      <c r="G7" s="4">
        <f t="shared" si="2"/>
        <v>800</v>
      </c>
      <c r="H7" s="4">
        <f t="shared" si="0"/>
        <v>61200</v>
      </c>
      <c r="I7" s="4">
        <f t="shared" si="3"/>
        <v>20400</v>
      </c>
      <c r="K7" s="5" t="s">
        <v>32</v>
      </c>
    </row>
    <row r="8" spans="1:11">
      <c r="A8" s="2">
        <v>44413</v>
      </c>
      <c r="B8" t="s">
        <v>23</v>
      </c>
      <c r="C8" t="s">
        <v>18</v>
      </c>
      <c r="D8" t="s">
        <v>19</v>
      </c>
      <c r="E8" s="3">
        <v>78</v>
      </c>
      <c r="F8" s="4">
        <f t="shared" si="1"/>
        <v>1000</v>
      </c>
      <c r="G8" s="4">
        <f t="shared" si="2"/>
        <v>700</v>
      </c>
      <c r="H8" s="4">
        <f t="shared" si="0"/>
        <v>78000</v>
      </c>
      <c r="I8" s="4">
        <f t="shared" si="3"/>
        <v>23400</v>
      </c>
      <c r="K8" s="10">
        <f>AVERAGE(H2:H49)</f>
        <v>220718.75</v>
      </c>
    </row>
    <row r="9" spans="1:11">
      <c r="A9" s="2">
        <v>44141</v>
      </c>
      <c r="B9" t="s">
        <v>24</v>
      </c>
      <c r="C9" t="s">
        <v>15</v>
      </c>
      <c r="D9" t="s">
        <v>10</v>
      </c>
      <c r="E9" s="3">
        <v>146</v>
      </c>
      <c r="F9" s="4">
        <f t="shared" si="1"/>
        <v>6000</v>
      </c>
      <c r="G9" s="4">
        <f t="shared" si="2"/>
        <v>4000</v>
      </c>
      <c r="H9" s="4">
        <f t="shared" si="0"/>
        <v>876000</v>
      </c>
      <c r="I9" s="4">
        <f t="shared" si="3"/>
        <v>292000</v>
      </c>
    </row>
    <row r="10" spans="1:11">
      <c r="A10" s="2">
        <v>44223</v>
      </c>
      <c r="B10" t="s">
        <v>25</v>
      </c>
      <c r="C10" t="s">
        <v>9</v>
      </c>
      <c r="D10" t="s">
        <v>26</v>
      </c>
      <c r="E10" s="3">
        <v>101</v>
      </c>
      <c r="F10" s="4">
        <f t="shared" si="1"/>
        <v>600</v>
      </c>
      <c r="G10" s="4">
        <f t="shared" si="2"/>
        <v>400</v>
      </c>
      <c r="H10" s="4">
        <f t="shared" si="0"/>
        <v>60600</v>
      </c>
      <c r="I10" s="4">
        <f t="shared" si="3"/>
        <v>20200</v>
      </c>
    </row>
    <row r="11" spans="1:11">
      <c r="A11" s="2">
        <v>44442</v>
      </c>
      <c r="B11" t="s">
        <v>27</v>
      </c>
      <c r="C11" t="s">
        <v>15</v>
      </c>
      <c r="D11" t="s">
        <v>10</v>
      </c>
      <c r="E11" s="3">
        <v>52</v>
      </c>
      <c r="F11" s="4">
        <f t="shared" si="1"/>
        <v>6000</v>
      </c>
      <c r="G11" s="4">
        <f t="shared" si="2"/>
        <v>4000</v>
      </c>
      <c r="H11" s="4">
        <f t="shared" si="0"/>
        <v>312000</v>
      </c>
      <c r="I11" s="4">
        <f t="shared" si="3"/>
        <v>104000</v>
      </c>
    </row>
    <row r="12" spans="1:11">
      <c r="A12" s="2">
        <v>44469</v>
      </c>
      <c r="B12" t="s">
        <v>27</v>
      </c>
      <c r="C12" t="s">
        <v>12</v>
      </c>
      <c r="D12" t="s">
        <v>16</v>
      </c>
      <c r="E12" s="3">
        <v>55</v>
      </c>
      <c r="F12" s="4">
        <f t="shared" si="1"/>
        <v>1200</v>
      </c>
      <c r="G12" s="4">
        <f t="shared" si="2"/>
        <v>800</v>
      </c>
      <c r="H12" s="4">
        <f t="shared" si="0"/>
        <v>66000</v>
      </c>
      <c r="I12" s="4">
        <f t="shared" si="3"/>
        <v>22000</v>
      </c>
    </row>
    <row r="13" spans="1:11">
      <c r="A13" s="2">
        <v>44084</v>
      </c>
      <c r="B13" t="s">
        <v>27</v>
      </c>
      <c r="C13" t="s">
        <v>15</v>
      </c>
      <c r="D13" t="s">
        <v>19</v>
      </c>
      <c r="E13" s="3">
        <v>137</v>
      </c>
      <c r="F13" s="4">
        <f t="shared" si="1"/>
        <v>1000</v>
      </c>
      <c r="G13" s="4">
        <f t="shared" si="2"/>
        <v>700</v>
      </c>
      <c r="H13" s="4">
        <f t="shared" si="0"/>
        <v>137000</v>
      </c>
      <c r="I13" s="4">
        <f t="shared" si="3"/>
        <v>41100</v>
      </c>
    </row>
    <row r="14" spans="1:11">
      <c r="A14" s="2">
        <v>44404</v>
      </c>
      <c r="B14" t="s">
        <v>24</v>
      </c>
      <c r="C14" t="s">
        <v>15</v>
      </c>
      <c r="D14" t="s">
        <v>13</v>
      </c>
      <c r="E14" s="3">
        <v>96</v>
      </c>
      <c r="F14" s="4">
        <f t="shared" si="1"/>
        <v>3500</v>
      </c>
      <c r="G14" s="4">
        <f t="shared" si="2"/>
        <v>2500</v>
      </c>
      <c r="H14" s="4">
        <f t="shared" si="0"/>
        <v>336000</v>
      </c>
      <c r="I14" s="4">
        <f t="shared" si="3"/>
        <v>96000</v>
      </c>
    </row>
    <row r="15" spans="1:11">
      <c r="A15" s="2">
        <v>44113</v>
      </c>
      <c r="B15" t="s">
        <v>25</v>
      </c>
      <c r="C15" t="s">
        <v>12</v>
      </c>
      <c r="D15" t="s">
        <v>21</v>
      </c>
      <c r="E15" s="3">
        <v>52</v>
      </c>
      <c r="F15" s="4">
        <f t="shared" si="1"/>
        <v>4000</v>
      </c>
      <c r="G15" s="4">
        <f t="shared" si="2"/>
        <v>3000</v>
      </c>
      <c r="H15" s="4">
        <f t="shared" si="0"/>
        <v>208000</v>
      </c>
      <c r="I15" s="4">
        <f t="shared" si="3"/>
        <v>52000</v>
      </c>
    </row>
    <row r="16" spans="1:11">
      <c r="A16" s="2">
        <v>44292</v>
      </c>
      <c r="B16" t="s">
        <v>17</v>
      </c>
      <c r="C16" t="s">
        <v>9</v>
      </c>
      <c r="D16" t="s">
        <v>13</v>
      </c>
      <c r="E16" s="3">
        <v>76</v>
      </c>
      <c r="F16" s="4">
        <f t="shared" si="1"/>
        <v>3500</v>
      </c>
      <c r="G16" s="4">
        <f t="shared" si="2"/>
        <v>2500</v>
      </c>
      <c r="H16" s="4">
        <f t="shared" si="0"/>
        <v>266000</v>
      </c>
      <c r="I16" s="4">
        <f t="shared" si="3"/>
        <v>76000</v>
      </c>
    </row>
    <row r="17" spans="1:9">
      <c r="A17" s="2">
        <v>44362</v>
      </c>
      <c r="B17" t="s">
        <v>11</v>
      </c>
      <c r="C17" t="s">
        <v>18</v>
      </c>
      <c r="D17" t="s">
        <v>21</v>
      </c>
      <c r="E17" s="3">
        <v>145</v>
      </c>
      <c r="F17" s="4">
        <f t="shared" si="1"/>
        <v>4000</v>
      </c>
      <c r="G17" s="4">
        <f t="shared" si="2"/>
        <v>3000</v>
      </c>
      <c r="H17" s="4">
        <f t="shared" si="0"/>
        <v>580000</v>
      </c>
      <c r="I17" s="4">
        <f t="shared" si="3"/>
        <v>145000</v>
      </c>
    </row>
    <row r="18" spans="1:9">
      <c r="A18" s="2">
        <v>44083</v>
      </c>
      <c r="B18" t="s">
        <v>8</v>
      </c>
      <c r="C18" t="s">
        <v>15</v>
      </c>
      <c r="D18" t="s">
        <v>26</v>
      </c>
      <c r="E18" s="3">
        <v>83</v>
      </c>
      <c r="F18" s="4">
        <f t="shared" si="1"/>
        <v>600</v>
      </c>
      <c r="G18" s="4">
        <f t="shared" si="2"/>
        <v>400</v>
      </c>
      <c r="H18" s="4">
        <f t="shared" si="0"/>
        <v>49800</v>
      </c>
      <c r="I18" s="4">
        <f t="shared" si="3"/>
        <v>16600</v>
      </c>
    </row>
    <row r="19" spans="1:9">
      <c r="A19" s="2">
        <v>44421</v>
      </c>
      <c r="B19" t="s">
        <v>20</v>
      </c>
      <c r="C19" t="s">
        <v>15</v>
      </c>
      <c r="D19" t="s">
        <v>19</v>
      </c>
      <c r="E19" s="3">
        <v>91</v>
      </c>
      <c r="F19" s="4">
        <f t="shared" si="1"/>
        <v>1000</v>
      </c>
      <c r="G19" s="4">
        <f t="shared" si="2"/>
        <v>700</v>
      </c>
      <c r="H19" s="4">
        <f t="shared" si="0"/>
        <v>91000</v>
      </c>
      <c r="I19" s="4">
        <f t="shared" si="3"/>
        <v>27300</v>
      </c>
    </row>
    <row r="20" spans="1:9">
      <c r="A20" s="2">
        <v>44293</v>
      </c>
      <c r="B20" t="s">
        <v>14</v>
      </c>
      <c r="C20" t="s">
        <v>18</v>
      </c>
      <c r="D20" t="s">
        <v>21</v>
      </c>
      <c r="E20" s="3">
        <v>144</v>
      </c>
      <c r="F20" s="4">
        <f t="shared" si="1"/>
        <v>4000</v>
      </c>
      <c r="G20" s="4">
        <f t="shared" si="2"/>
        <v>3000</v>
      </c>
      <c r="H20" s="4">
        <f t="shared" si="0"/>
        <v>576000</v>
      </c>
      <c r="I20" s="4">
        <f t="shared" si="3"/>
        <v>144000</v>
      </c>
    </row>
    <row r="21" spans="1:9">
      <c r="A21" s="2">
        <v>43990</v>
      </c>
      <c r="B21" t="s">
        <v>20</v>
      </c>
      <c r="C21" t="s">
        <v>15</v>
      </c>
      <c r="D21" t="s">
        <v>26</v>
      </c>
      <c r="E21" s="3">
        <v>92</v>
      </c>
      <c r="F21" s="4">
        <f t="shared" si="1"/>
        <v>600</v>
      </c>
      <c r="G21" s="4">
        <f t="shared" si="2"/>
        <v>400</v>
      </c>
      <c r="H21" s="4">
        <f t="shared" si="0"/>
        <v>55200</v>
      </c>
      <c r="I21" s="4">
        <f t="shared" si="3"/>
        <v>18400</v>
      </c>
    </row>
    <row r="22" spans="1:9">
      <c r="A22" s="2">
        <v>44551</v>
      </c>
      <c r="B22" t="s">
        <v>24</v>
      </c>
      <c r="C22" t="s">
        <v>9</v>
      </c>
      <c r="D22" t="s">
        <v>10</v>
      </c>
      <c r="E22" s="3">
        <v>71</v>
      </c>
      <c r="F22" s="4">
        <f t="shared" si="1"/>
        <v>6000</v>
      </c>
      <c r="G22" s="4">
        <f t="shared" si="2"/>
        <v>4000</v>
      </c>
      <c r="H22" s="4">
        <f t="shared" si="0"/>
        <v>426000</v>
      </c>
      <c r="I22" s="4">
        <f t="shared" si="3"/>
        <v>142000</v>
      </c>
    </row>
    <row r="23" spans="1:9">
      <c r="A23" s="2">
        <v>44418</v>
      </c>
      <c r="B23" t="s">
        <v>8</v>
      </c>
      <c r="C23" t="s">
        <v>12</v>
      </c>
      <c r="D23" t="s">
        <v>26</v>
      </c>
      <c r="E23" s="3">
        <v>103</v>
      </c>
      <c r="F23" s="4">
        <f t="shared" si="1"/>
        <v>600</v>
      </c>
      <c r="G23" s="4">
        <f t="shared" si="2"/>
        <v>400</v>
      </c>
      <c r="H23" s="4">
        <f t="shared" si="0"/>
        <v>61800</v>
      </c>
      <c r="I23" s="4">
        <f t="shared" si="3"/>
        <v>20600</v>
      </c>
    </row>
    <row r="24" spans="1:9">
      <c r="A24" s="2">
        <v>44532</v>
      </c>
      <c r="B24" t="s">
        <v>27</v>
      </c>
      <c r="C24" t="s">
        <v>18</v>
      </c>
      <c r="D24" t="s">
        <v>19</v>
      </c>
      <c r="E24" s="3">
        <v>55</v>
      </c>
      <c r="F24" s="4">
        <f t="shared" si="1"/>
        <v>1000</v>
      </c>
      <c r="G24" s="4">
        <f t="shared" si="2"/>
        <v>700</v>
      </c>
      <c r="H24" s="4">
        <f t="shared" si="0"/>
        <v>55000</v>
      </c>
      <c r="I24" s="4">
        <f t="shared" si="3"/>
        <v>16500</v>
      </c>
    </row>
    <row r="25" spans="1:9">
      <c r="A25" s="2">
        <v>44438</v>
      </c>
      <c r="B25" t="s">
        <v>22</v>
      </c>
      <c r="C25" t="s">
        <v>12</v>
      </c>
      <c r="D25" t="s">
        <v>21</v>
      </c>
      <c r="E25" s="3">
        <v>93</v>
      </c>
      <c r="F25" s="4">
        <f t="shared" si="1"/>
        <v>4000</v>
      </c>
      <c r="G25" s="4">
        <f t="shared" si="2"/>
        <v>3000</v>
      </c>
      <c r="H25" s="4">
        <f t="shared" si="0"/>
        <v>372000</v>
      </c>
      <c r="I25" s="4">
        <f t="shared" si="3"/>
        <v>93000</v>
      </c>
    </row>
    <row r="26" spans="1:9">
      <c r="A26" s="2">
        <v>43971</v>
      </c>
      <c r="B26" t="s">
        <v>14</v>
      </c>
      <c r="C26" t="s">
        <v>15</v>
      </c>
      <c r="D26" t="s">
        <v>26</v>
      </c>
      <c r="E26" s="3">
        <v>143</v>
      </c>
      <c r="F26" s="4">
        <f t="shared" si="1"/>
        <v>600</v>
      </c>
      <c r="G26" s="4">
        <f t="shared" si="2"/>
        <v>400</v>
      </c>
      <c r="H26" s="4">
        <f t="shared" si="0"/>
        <v>85800</v>
      </c>
      <c r="I26" s="4">
        <f t="shared" si="3"/>
        <v>28600</v>
      </c>
    </row>
    <row r="27" spans="1:9">
      <c r="A27" s="2">
        <v>44452</v>
      </c>
      <c r="B27" t="s">
        <v>23</v>
      </c>
      <c r="C27" t="s">
        <v>9</v>
      </c>
      <c r="D27" t="s">
        <v>13</v>
      </c>
      <c r="E27" s="3">
        <v>143</v>
      </c>
      <c r="F27" s="4">
        <f t="shared" si="1"/>
        <v>3500</v>
      </c>
      <c r="G27" s="4">
        <f t="shared" si="2"/>
        <v>2500</v>
      </c>
      <c r="H27" s="4">
        <f t="shared" si="0"/>
        <v>500500</v>
      </c>
      <c r="I27" s="4">
        <f t="shared" si="3"/>
        <v>143000</v>
      </c>
    </row>
    <row r="28" spans="1:9">
      <c r="A28" s="2">
        <v>44496</v>
      </c>
      <c r="B28" t="s">
        <v>25</v>
      </c>
      <c r="C28" t="s">
        <v>18</v>
      </c>
      <c r="D28" t="s">
        <v>26</v>
      </c>
      <c r="E28" s="3">
        <v>99</v>
      </c>
      <c r="F28" s="4">
        <f t="shared" si="1"/>
        <v>600</v>
      </c>
      <c r="G28" s="4">
        <f t="shared" si="2"/>
        <v>400</v>
      </c>
      <c r="H28" s="4">
        <f t="shared" si="0"/>
        <v>59400</v>
      </c>
      <c r="I28" s="4">
        <f t="shared" si="3"/>
        <v>19800</v>
      </c>
    </row>
    <row r="29" spans="1:9">
      <c r="A29" s="2">
        <v>44187</v>
      </c>
      <c r="B29" t="s">
        <v>17</v>
      </c>
      <c r="C29" t="s">
        <v>9</v>
      </c>
      <c r="D29" t="s">
        <v>19</v>
      </c>
      <c r="E29" s="3">
        <v>120</v>
      </c>
      <c r="F29" s="4">
        <f t="shared" si="1"/>
        <v>1000</v>
      </c>
      <c r="G29" s="4">
        <f t="shared" si="2"/>
        <v>700</v>
      </c>
      <c r="H29" s="4">
        <f t="shared" si="0"/>
        <v>120000</v>
      </c>
      <c r="I29" s="4">
        <f t="shared" si="3"/>
        <v>36000</v>
      </c>
    </row>
    <row r="30" spans="1:9">
      <c r="A30" s="2">
        <v>44405</v>
      </c>
      <c r="B30" t="s">
        <v>11</v>
      </c>
      <c r="C30" t="s">
        <v>15</v>
      </c>
      <c r="D30" t="s">
        <v>13</v>
      </c>
      <c r="E30" s="3">
        <v>66</v>
      </c>
      <c r="F30" s="4">
        <f t="shared" si="1"/>
        <v>3500</v>
      </c>
      <c r="G30" s="4">
        <f t="shared" si="2"/>
        <v>2500</v>
      </c>
      <c r="H30" s="4">
        <f t="shared" si="0"/>
        <v>231000</v>
      </c>
      <c r="I30" s="4">
        <f t="shared" si="3"/>
        <v>66000</v>
      </c>
    </row>
    <row r="31" spans="1:9">
      <c r="A31" s="2">
        <v>44103</v>
      </c>
      <c r="B31" t="s">
        <v>25</v>
      </c>
      <c r="C31" t="s">
        <v>18</v>
      </c>
      <c r="D31" t="s">
        <v>16</v>
      </c>
      <c r="E31" s="3">
        <v>88</v>
      </c>
      <c r="F31" s="4">
        <f t="shared" si="1"/>
        <v>1200</v>
      </c>
      <c r="G31" s="4">
        <f t="shared" si="2"/>
        <v>800</v>
      </c>
      <c r="H31" s="4">
        <f t="shared" si="0"/>
        <v>105600</v>
      </c>
      <c r="I31" s="4">
        <f t="shared" si="3"/>
        <v>35200</v>
      </c>
    </row>
    <row r="32" spans="1:9">
      <c r="A32" s="2">
        <v>43970</v>
      </c>
      <c r="B32" t="s">
        <v>20</v>
      </c>
      <c r="C32" t="s">
        <v>9</v>
      </c>
      <c r="D32" t="s">
        <v>21</v>
      </c>
      <c r="E32" s="3">
        <v>67</v>
      </c>
      <c r="F32" s="4">
        <f t="shared" si="1"/>
        <v>4000</v>
      </c>
      <c r="G32" s="4">
        <f t="shared" si="2"/>
        <v>3000</v>
      </c>
      <c r="H32" s="4">
        <f t="shared" si="0"/>
        <v>268000</v>
      </c>
      <c r="I32" s="4">
        <f t="shared" si="3"/>
        <v>67000</v>
      </c>
    </row>
    <row r="33" spans="1:9">
      <c r="A33" s="2">
        <v>44536</v>
      </c>
      <c r="B33" t="s">
        <v>11</v>
      </c>
      <c r="C33" t="s">
        <v>12</v>
      </c>
      <c r="D33" t="s">
        <v>16</v>
      </c>
      <c r="E33" s="3">
        <v>67</v>
      </c>
      <c r="F33" s="4">
        <f t="shared" si="1"/>
        <v>1200</v>
      </c>
      <c r="G33" s="4">
        <f t="shared" si="2"/>
        <v>800</v>
      </c>
      <c r="H33" s="4">
        <f t="shared" si="0"/>
        <v>80400</v>
      </c>
      <c r="I33" s="4">
        <f t="shared" si="3"/>
        <v>26800</v>
      </c>
    </row>
    <row r="34" spans="1:9">
      <c r="A34" s="2">
        <v>44069</v>
      </c>
      <c r="B34" t="s">
        <v>27</v>
      </c>
      <c r="C34" t="s">
        <v>15</v>
      </c>
      <c r="D34" t="s">
        <v>19</v>
      </c>
      <c r="E34" s="3">
        <v>149</v>
      </c>
      <c r="F34" s="4">
        <f t="shared" si="1"/>
        <v>1000</v>
      </c>
      <c r="G34" s="4">
        <f t="shared" si="2"/>
        <v>700</v>
      </c>
      <c r="H34" s="4">
        <f t="shared" si="0"/>
        <v>149000</v>
      </c>
      <c r="I34" s="4">
        <f t="shared" si="3"/>
        <v>44700</v>
      </c>
    </row>
    <row r="35" spans="1:9">
      <c r="A35" s="2">
        <v>44378</v>
      </c>
      <c r="B35" t="s">
        <v>20</v>
      </c>
      <c r="C35" t="s">
        <v>18</v>
      </c>
      <c r="D35" t="s">
        <v>26</v>
      </c>
      <c r="E35" s="3">
        <v>104</v>
      </c>
      <c r="F35" s="4">
        <f t="shared" si="1"/>
        <v>600</v>
      </c>
      <c r="G35" s="4">
        <f t="shared" si="2"/>
        <v>400</v>
      </c>
      <c r="H35" s="4">
        <f t="shared" si="0"/>
        <v>62400</v>
      </c>
      <c r="I35" s="4">
        <f t="shared" si="3"/>
        <v>20800</v>
      </c>
    </row>
    <row r="36" spans="1:9">
      <c r="A36" s="2">
        <v>44404</v>
      </c>
      <c r="B36" t="s">
        <v>24</v>
      </c>
      <c r="C36" t="s">
        <v>9</v>
      </c>
      <c r="D36" t="s">
        <v>26</v>
      </c>
      <c r="E36" s="3">
        <v>57</v>
      </c>
      <c r="F36" s="4">
        <f t="shared" si="1"/>
        <v>600</v>
      </c>
      <c r="G36" s="4">
        <f t="shared" si="2"/>
        <v>400</v>
      </c>
      <c r="H36" s="4">
        <f t="shared" si="0"/>
        <v>34200</v>
      </c>
      <c r="I36" s="4">
        <f t="shared" si="3"/>
        <v>11400</v>
      </c>
    </row>
    <row r="37" spans="1:9">
      <c r="A37" s="2">
        <v>44109</v>
      </c>
      <c r="B37" t="s">
        <v>14</v>
      </c>
      <c r="C37" t="s">
        <v>12</v>
      </c>
      <c r="D37" t="s">
        <v>26</v>
      </c>
      <c r="E37" s="3">
        <v>90</v>
      </c>
      <c r="F37" s="4">
        <f t="shared" si="1"/>
        <v>600</v>
      </c>
      <c r="G37" s="4">
        <f t="shared" si="2"/>
        <v>400</v>
      </c>
      <c r="H37" s="4">
        <f t="shared" si="0"/>
        <v>54000</v>
      </c>
      <c r="I37" s="4">
        <f t="shared" si="3"/>
        <v>18000</v>
      </c>
    </row>
    <row r="38" spans="1:9">
      <c r="A38" s="2">
        <v>44076</v>
      </c>
      <c r="B38" t="s">
        <v>22</v>
      </c>
      <c r="C38" t="s">
        <v>15</v>
      </c>
      <c r="D38" t="s">
        <v>26</v>
      </c>
      <c r="E38" s="3">
        <v>67</v>
      </c>
      <c r="F38" s="4">
        <f t="shared" si="1"/>
        <v>600</v>
      </c>
      <c r="G38" s="4">
        <f t="shared" si="2"/>
        <v>400</v>
      </c>
      <c r="H38" s="4">
        <f t="shared" si="0"/>
        <v>40200</v>
      </c>
      <c r="I38" s="4">
        <f t="shared" si="3"/>
        <v>13400</v>
      </c>
    </row>
    <row r="39" spans="1:9">
      <c r="A39" s="2">
        <v>44441</v>
      </c>
      <c r="B39" t="s">
        <v>8</v>
      </c>
      <c r="C39" t="s">
        <v>18</v>
      </c>
      <c r="D39" t="s">
        <v>21</v>
      </c>
      <c r="E39" s="3">
        <v>127</v>
      </c>
      <c r="F39" s="4">
        <f t="shared" si="1"/>
        <v>4000</v>
      </c>
      <c r="G39" s="4">
        <f t="shared" si="2"/>
        <v>3000</v>
      </c>
      <c r="H39" s="4">
        <f t="shared" si="0"/>
        <v>508000</v>
      </c>
      <c r="I39" s="4">
        <f t="shared" si="3"/>
        <v>127000</v>
      </c>
    </row>
    <row r="40" spans="1:9">
      <c r="A40" s="2">
        <v>44299</v>
      </c>
      <c r="B40" t="s">
        <v>22</v>
      </c>
      <c r="C40" t="s">
        <v>9</v>
      </c>
      <c r="D40" t="s">
        <v>19</v>
      </c>
      <c r="E40" s="3">
        <v>108</v>
      </c>
      <c r="F40" s="4">
        <f t="shared" si="1"/>
        <v>1000</v>
      </c>
      <c r="G40" s="4">
        <f t="shared" si="2"/>
        <v>700</v>
      </c>
      <c r="H40" s="4">
        <f t="shared" si="0"/>
        <v>108000</v>
      </c>
      <c r="I40" s="4">
        <f t="shared" si="3"/>
        <v>32400</v>
      </c>
    </row>
    <row r="41" spans="1:9">
      <c r="A41" s="2">
        <v>44322</v>
      </c>
      <c r="B41" t="s">
        <v>14</v>
      </c>
      <c r="C41" t="s">
        <v>12</v>
      </c>
      <c r="D41" t="s">
        <v>13</v>
      </c>
      <c r="E41" s="3">
        <v>66</v>
      </c>
      <c r="F41" s="4">
        <f t="shared" si="1"/>
        <v>3500</v>
      </c>
      <c r="G41" s="4">
        <f t="shared" si="2"/>
        <v>2500</v>
      </c>
      <c r="H41" s="4">
        <f t="shared" si="0"/>
        <v>231000</v>
      </c>
      <c r="I41" s="4">
        <f t="shared" si="3"/>
        <v>66000</v>
      </c>
    </row>
    <row r="42" spans="1:9">
      <c r="A42" s="2">
        <v>44211</v>
      </c>
      <c r="B42" t="s">
        <v>8</v>
      </c>
      <c r="C42" t="s">
        <v>18</v>
      </c>
      <c r="D42" t="s">
        <v>10</v>
      </c>
      <c r="E42" s="3">
        <v>78</v>
      </c>
      <c r="F42" s="4">
        <f t="shared" si="1"/>
        <v>6000</v>
      </c>
      <c r="G42" s="4">
        <f t="shared" si="2"/>
        <v>4000</v>
      </c>
      <c r="H42" s="4">
        <f t="shared" si="0"/>
        <v>468000</v>
      </c>
      <c r="I42" s="4">
        <f t="shared" si="3"/>
        <v>156000</v>
      </c>
    </row>
    <row r="43" spans="1:9">
      <c r="A43" s="2">
        <v>44070</v>
      </c>
      <c r="B43" t="s">
        <v>24</v>
      </c>
      <c r="C43" t="s">
        <v>15</v>
      </c>
      <c r="D43" t="s">
        <v>19</v>
      </c>
      <c r="E43" s="3">
        <v>69</v>
      </c>
      <c r="F43" s="4">
        <f t="shared" si="1"/>
        <v>1000</v>
      </c>
      <c r="G43" s="4">
        <f t="shared" si="2"/>
        <v>700</v>
      </c>
      <c r="H43" s="4">
        <f t="shared" si="0"/>
        <v>69000</v>
      </c>
      <c r="I43" s="4">
        <f t="shared" si="3"/>
        <v>20700</v>
      </c>
    </row>
    <row r="44" spans="1:9">
      <c r="A44" s="2">
        <v>44232</v>
      </c>
      <c r="B44" t="s">
        <v>20</v>
      </c>
      <c r="C44" t="s">
        <v>9</v>
      </c>
      <c r="D44" t="s">
        <v>16</v>
      </c>
      <c r="E44" s="3">
        <v>59</v>
      </c>
      <c r="F44" s="4">
        <f t="shared" si="1"/>
        <v>1200</v>
      </c>
      <c r="G44" s="4">
        <f t="shared" si="2"/>
        <v>800</v>
      </c>
      <c r="H44" s="4">
        <f t="shared" si="0"/>
        <v>70800</v>
      </c>
      <c r="I44" s="4">
        <f t="shared" si="3"/>
        <v>23600</v>
      </c>
    </row>
    <row r="45" spans="1:9">
      <c r="A45" s="2">
        <v>44517</v>
      </c>
      <c r="B45" t="s">
        <v>27</v>
      </c>
      <c r="C45" t="s">
        <v>15</v>
      </c>
      <c r="D45" t="s">
        <v>26</v>
      </c>
      <c r="E45" s="3">
        <v>109</v>
      </c>
      <c r="F45" s="4">
        <f t="shared" si="1"/>
        <v>600</v>
      </c>
      <c r="G45" s="4">
        <f t="shared" si="2"/>
        <v>400</v>
      </c>
      <c r="H45" s="4">
        <f t="shared" si="0"/>
        <v>65400</v>
      </c>
      <c r="I45" s="4">
        <f t="shared" si="3"/>
        <v>21800</v>
      </c>
    </row>
    <row r="46" spans="1:9">
      <c r="A46" s="2">
        <v>44193</v>
      </c>
      <c r="B46" t="s">
        <v>25</v>
      </c>
      <c r="C46" t="s">
        <v>12</v>
      </c>
      <c r="D46" t="s">
        <v>21</v>
      </c>
      <c r="E46" s="3">
        <v>61</v>
      </c>
      <c r="F46" s="4">
        <f t="shared" si="1"/>
        <v>4000</v>
      </c>
      <c r="G46" s="4">
        <f t="shared" si="2"/>
        <v>3000</v>
      </c>
      <c r="H46" s="4">
        <f t="shared" si="0"/>
        <v>244000</v>
      </c>
      <c r="I46" s="4">
        <f t="shared" si="3"/>
        <v>61000</v>
      </c>
    </row>
    <row r="47" spans="1:9">
      <c r="A47" s="2">
        <v>44496</v>
      </c>
      <c r="B47" t="s">
        <v>20</v>
      </c>
      <c r="C47" t="s">
        <v>18</v>
      </c>
      <c r="D47" t="s">
        <v>26</v>
      </c>
      <c r="E47" s="3">
        <v>130</v>
      </c>
      <c r="F47" s="4">
        <f t="shared" si="1"/>
        <v>600</v>
      </c>
      <c r="G47" s="4">
        <f t="shared" si="2"/>
        <v>400</v>
      </c>
      <c r="H47" s="4">
        <f t="shared" si="0"/>
        <v>78000</v>
      </c>
      <c r="I47" s="4">
        <f t="shared" si="3"/>
        <v>26000</v>
      </c>
    </row>
    <row r="48" spans="1:9">
      <c r="A48" s="2">
        <v>44502</v>
      </c>
      <c r="B48" t="s">
        <v>17</v>
      </c>
      <c r="C48" t="s">
        <v>15</v>
      </c>
      <c r="D48" t="s">
        <v>13</v>
      </c>
      <c r="E48" s="3">
        <v>60</v>
      </c>
      <c r="F48" s="4">
        <f t="shared" si="1"/>
        <v>3500</v>
      </c>
      <c r="G48" s="4">
        <f t="shared" si="2"/>
        <v>2500</v>
      </c>
      <c r="H48" s="4">
        <f t="shared" si="0"/>
        <v>210000</v>
      </c>
      <c r="I48" s="4">
        <f t="shared" si="3"/>
        <v>60000</v>
      </c>
    </row>
    <row r="49" spans="1:9">
      <c r="A49" s="2">
        <v>43958</v>
      </c>
      <c r="B49" t="s">
        <v>11</v>
      </c>
      <c r="C49" t="s">
        <v>12</v>
      </c>
      <c r="D49" t="s">
        <v>10</v>
      </c>
      <c r="E49" s="3">
        <v>73</v>
      </c>
      <c r="F49" s="4">
        <f t="shared" si="1"/>
        <v>6000</v>
      </c>
      <c r="G49" s="4">
        <f t="shared" si="2"/>
        <v>4000</v>
      </c>
      <c r="H49" s="4">
        <f t="shared" si="0"/>
        <v>438000</v>
      </c>
      <c r="I49" s="4">
        <f t="shared" si="3"/>
        <v>146000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vickeey</dc:creator>
  <cp:lastModifiedBy>rubini s</cp:lastModifiedBy>
  <dcterms:created xsi:type="dcterms:W3CDTF">2024-05-30T14:35:02Z</dcterms:created>
  <dcterms:modified xsi:type="dcterms:W3CDTF">2025-12-08T10:48:20Z</dcterms:modified>
</cp:coreProperties>
</file>